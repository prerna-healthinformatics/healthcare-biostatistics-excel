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7ff9bbc394f2cca/Desktop/UNIVERSITY OF SAN DIEGO DOCS/HCIN615/"/>
    </mc:Choice>
  </mc:AlternateContent>
  <xr:revisionPtr revIDLastSave="0" documentId="8_{5CC56CBE-FCDD-4D1B-ACDD-9C1698F1B09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I Calculation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  <c r="F8" i="1" s="1"/>
  <c r="G8" i="1" s="1"/>
  <c r="E7" i="1"/>
  <c r="F7" i="1" s="1"/>
  <c r="G7" i="1" s="1"/>
  <c r="E6" i="1"/>
  <c r="F6" i="1" s="1"/>
  <c r="G6" i="1" s="1"/>
  <c r="E5" i="1"/>
  <c r="F5" i="1" s="1"/>
  <c r="G5" i="1" s="1"/>
  <c r="I8" i="1" l="1"/>
  <c r="H8" i="1"/>
  <c r="H7" i="1"/>
  <c r="I7" i="1"/>
  <c r="I6" i="1"/>
  <c r="H6" i="1"/>
  <c r="H5" i="1"/>
  <c r="I5" i="1"/>
</calcChain>
</file>

<file path=xl/sharedStrings.xml><?xml version="1.0" encoding="utf-8"?>
<sst xmlns="http://schemas.openxmlformats.org/spreadsheetml/2006/main" count="16" uniqueCount="16">
  <si>
    <t>Section 7.1: Exact 95% Confidence Limits Using =TINV() and Equation 7.1</t>
  </si>
  <si>
    <t>Equation 7.1:  CI = Mean +/- t(alpha/2, df) x SE   where t = TINV(0.05, df), df = N - 1</t>
  </si>
  <si>
    <t>Case</t>
  </si>
  <si>
    <t>N</t>
  </si>
  <si>
    <t>Mean</t>
  </si>
  <si>
    <t>SE</t>
  </si>
  <si>
    <t>df = N-1</t>
  </si>
  <si>
    <t>t-value (=TINV(0.05,df))</t>
  </si>
  <si>
    <t>Margin of Error (t x SE)</t>
  </si>
  <si>
    <t>Lower 95% Limit</t>
  </si>
  <si>
    <t>Upper 95% Limit</t>
  </si>
  <si>
    <t>a</t>
  </si>
  <si>
    <t>b</t>
  </si>
  <si>
    <t>c</t>
  </si>
  <si>
    <t>d</t>
  </si>
  <si>
    <t>Note: As N (and therefore df) increases, the t-value from TINV(0.05, df) gets smaller and approaches the z-value of 1.96 used for large samples. A larger SE widens the confidence interval (bigger margin of error) for the same N, while a larger N narrows it (smaller t-value) for the same 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</si>
</sst>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i/>
      <sz val="10"/>
      <name val="Cambria"/>
      <charset val="1"/>
    </font>
    <font>
      <b/>
      <sz val="11"/>
      <name val="Cambria"/>
      <charset val="1"/>
    </font>
    <font>
      <i/>
      <sz val="9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workbookViewId="0"/>
  </sheetViews>
  <sheetFormatPr defaultColWidth="8.6328125" defaultRowHeight="14.5" x14ac:dyDescent="0.35"/>
  <cols>
    <col min="1" max="2" width="8" customWidth="1"/>
    <col min="3" max="5" width="10" customWidth="1"/>
    <col min="6" max="6" width="22" customWidth="1"/>
    <col min="7" max="7" width="20" customWidth="1"/>
    <col min="8" max="9" width="18" customWidth="1"/>
  </cols>
  <sheetData>
    <row r="1" spans="1:9" ht="17.5" x14ac:dyDescent="0.35">
      <c r="A1" s="2" t="s">
        <v>0</v>
      </c>
    </row>
    <row r="2" spans="1:9" x14ac:dyDescent="0.35">
      <c r="A2" s="3" t="s">
        <v>1</v>
      </c>
    </row>
    <row r="4" spans="1:9" ht="28.5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x14ac:dyDescent="0.35">
      <c r="A5" s="5" t="s">
        <v>11</v>
      </c>
      <c r="B5" s="5">
        <v>40</v>
      </c>
      <c r="C5" s="6">
        <v>32</v>
      </c>
      <c r="D5" s="6">
        <v>1.23</v>
      </c>
      <c r="E5" s="5">
        <f>B5-1</f>
        <v>39</v>
      </c>
      <c r="F5" s="7">
        <f>TINV(0.05,E5)</f>
        <v>2.0226909200367595</v>
      </c>
      <c r="G5" s="7">
        <f>F5*D5</f>
        <v>2.4879098316452142</v>
      </c>
      <c r="H5" s="7">
        <f>C5-G5</f>
        <v>29.512090168354785</v>
      </c>
      <c r="I5" s="7">
        <f>C5+G5</f>
        <v>34.487909831645212</v>
      </c>
    </row>
    <row r="6" spans="1:9" x14ac:dyDescent="0.35">
      <c r="A6" s="5" t="s">
        <v>12</v>
      </c>
      <c r="B6" s="5">
        <v>40</v>
      </c>
      <c r="C6" s="6">
        <v>32</v>
      </c>
      <c r="D6" s="6">
        <v>3.23</v>
      </c>
      <c r="E6" s="5">
        <f>B6-1</f>
        <v>39</v>
      </c>
      <c r="F6" s="7">
        <f>TINV(0.05,E6)</f>
        <v>2.0226909200367595</v>
      </c>
      <c r="G6" s="7">
        <f>F6*D6</f>
        <v>6.5332916717187333</v>
      </c>
      <c r="H6" s="7">
        <f>C6-G6</f>
        <v>25.466708328281268</v>
      </c>
      <c r="I6" s="7">
        <f>C6+G6</f>
        <v>38.533291671718736</v>
      </c>
    </row>
    <row r="7" spans="1:9" x14ac:dyDescent="0.35">
      <c r="A7" s="5" t="s">
        <v>13</v>
      </c>
      <c r="B7" s="5">
        <v>140</v>
      </c>
      <c r="C7" s="6">
        <v>32</v>
      </c>
      <c r="D7" s="6">
        <v>1.23</v>
      </c>
      <c r="E7" s="5">
        <f>B7-1</f>
        <v>139</v>
      </c>
      <c r="F7" s="7">
        <f>TINV(0.05,E7)</f>
        <v>1.9771777244903315</v>
      </c>
      <c r="G7" s="7">
        <f>F7*D7</f>
        <v>2.4319286011231078</v>
      </c>
      <c r="H7" s="7">
        <f>C7-G7</f>
        <v>29.568071398876892</v>
      </c>
      <c r="I7" s="7">
        <f>C7+G7</f>
        <v>34.431928601123104</v>
      </c>
    </row>
    <row r="8" spans="1:9" x14ac:dyDescent="0.35">
      <c r="A8" s="5" t="s">
        <v>14</v>
      </c>
      <c r="B8" s="5">
        <v>140</v>
      </c>
      <c r="C8" s="6">
        <v>32</v>
      </c>
      <c r="D8" s="6">
        <v>3.23</v>
      </c>
      <c r="E8" s="5">
        <f>B8-1</f>
        <v>139</v>
      </c>
      <c r="F8" s="7">
        <f>TINV(0.05,E8)</f>
        <v>1.9771777244903315</v>
      </c>
      <c r="G8" s="7">
        <f>F8*D8</f>
        <v>6.3862840501037708</v>
      </c>
      <c r="H8" s="7">
        <f>C8-G8</f>
        <v>25.613715949896228</v>
      </c>
      <c r="I8" s="7">
        <f>C8+G8</f>
        <v>38.386284050103768</v>
      </c>
    </row>
    <row r="10" spans="1:9" ht="45" customHeight="1" x14ac:dyDescent="0.35">
      <c r="A10" s="1" t="s">
        <v>15</v>
      </c>
      <c r="B10" s="1"/>
      <c r="C10" s="1"/>
      <c r="D10" s="1"/>
      <c r="E10" s="1"/>
      <c r="F10" s="1"/>
      <c r="G10" s="1"/>
      <c r="H10" s="1"/>
      <c r="I10" s="1"/>
    </row>
  </sheetData>
  <mergeCells count="1">
    <mergeCell ref="A10:I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Prerna Sinha</dc:creator>
  <dc:description/>
  <cp:lastModifiedBy>Prerna Sinha</cp:lastModifiedBy>
  <cp:revision>0</cp:revision>
  <dcterms:created xsi:type="dcterms:W3CDTF">2026-09-12T22:08:36Z</dcterms:created>
  <dcterms:modified xsi:type="dcterms:W3CDTF">2026-09-12T22:09:44Z</dcterms:modified>
  <dc:language>en-US</dc:language>
</cp:coreProperties>
</file>