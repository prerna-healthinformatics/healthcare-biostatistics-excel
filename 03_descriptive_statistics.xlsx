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1" autoFilterDateGrouping="1"/>
  </bookViews>
  <sheets>
    <sheet xmlns:r="http://schemas.openxmlformats.org/officeDocument/2006/relationships" name="Hospital charges" sheetId="1" state="visible" r:id="rId1"/>
    <sheet xmlns:r="http://schemas.openxmlformats.org/officeDocument/2006/relationships" name="Descriptive Stats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_(\$* #,##0.00_);_(\$* \(#,##0.00\);_(\$* \-??_);_(@_)"/>
    <numFmt numFmtId="165" formatCode="#,##0.0000"/>
  </numFmts>
  <fonts count="6">
    <font>
      <name val="Arial"/>
      <charset val="1"/>
      <sz val="10"/>
    </font>
    <font>
      <name val="Arial"/>
      <charset val="1"/>
      <family val="2"/>
      <b val="1"/>
      <sz val="10"/>
    </font>
    <font>
      <name val="Cambria"/>
      <charset val="1"/>
      <b val="1"/>
      <sz val="14"/>
    </font>
    <font>
      <name val="Cambria"/>
      <charset val="1"/>
      <i val="1"/>
      <sz val="10"/>
    </font>
    <font>
      <name val="Cambria"/>
      <charset val="1"/>
      <b val="1"/>
      <sz val="11"/>
    </font>
    <font>
      <name val="Cambria"/>
      <charset val="1"/>
      <i val="1"/>
      <sz val="9"/>
    </font>
  </fonts>
  <fills count="4">
    <fill>
      <patternFill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165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zoomScaleNormal="100" workbookViewId="0">
      <selection activeCell="L9" sqref="L9"/>
    </sheetView>
  </sheetViews>
  <sheetFormatPr baseColWidth="8" defaultColWidth="8.81640625" defaultRowHeight="12.5"/>
  <cols>
    <col width="4.453125" customWidth="1" min="1" max="1"/>
    <col width="4.36328125" customWidth="1" min="2" max="2"/>
    <col width="5.36328125" customWidth="1" min="3" max="3"/>
    <col width="6.6328125" customWidth="1" min="4" max="4"/>
    <col width="6.36328125" customWidth="1" min="5" max="5"/>
    <col width="5.453125" customWidth="1" min="6" max="6"/>
    <col width="11.36328125" customWidth="1" style="1" min="7" max="8"/>
    <col width="5.453125" customWidth="1" min="9" max="10"/>
  </cols>
  <sheetData>
    <row r="1" ht="12.75" customFormat="1" customHeight="1" s="2">
      <c r="A1" s="2" t="inlineStr">
        <is>
          <t>ID</t>
        </is>
      </c>
      <c r="B1" s="2" t="inlineStr">
        <is>
          <t>Sex</t>
        </is>
      </c>
      <c r="C1" s="2" t="inlineStr">
        <is>
          <t>Sex1</t>
        </is>
      </c>
      <c r="D1" s="2" t="inlineStr">
        <is>
          <t>Age</t>
        </is>
      </c>
      <c r="E1" s="2" t="inlineStr">
        <is>
          <t>LOS</t>
        </is>
      </c>
      <c r="F1" s="2" t="inlineStr">
        <is>
          <t>DRG</t>
        </is>
      </c>
      <c r="G1" s="3" t="inlineStr">
        <is>
          <t>Charges</t>
        </is>
      </c>
      <c r="H1" s="3" t="inlineStr">
        <is>
          <t>Medicare</t>
        </is>
      </c>
      <c r="I1" s="2" t="inlineStr">
        <is>
          <t>Diag</t>
        </is>
      </c>
      <c r="J1" s="2" t="inlineStr">
        <is>
          <t>ICD-9</t>
        </is>
      </c>
    </row>
    <row r="2" ht="12" customHeight="1">
      <c r="A2" t="n">
        <v>1</v>
      </c>
      <c r="B2" t="inlineStr">
        <is>
          <t>F</t>
        </is>
      </c>
      <c r="C2">
        <f>IF(B2="F",1,0)</f>
        <v/>
      </c>
      <c r="D2" t="n">
        <v>46</v>
      </c>
      <c r="E2" t="n">
        <v>4</v>
      </c>
      <c r="F2" t="n">
        <v>294</v>
      </c>
      <c r="G2" s="1" t="n">
        <v>2426.48</v>
      </c>
      <c r="H2" s="1" t="n">
        <v>2003.62</v>
      </c>
      <c r="I2" t="n">
        <v>2</v>
      </c>
      <c r="J2" t="n">
        <v>0</v>
      </c>
    </row>
    <row r="3" ht="12" customHeight="1">
      <c r="A3" t="n">
        <v>2</v>
      </c>
      <c r="B3" t="inlineStr">
        <is>
          <t>F</t>
        </is>
      </c>
      <c r="C3">
        <f>IF(B3="F",1,0)</f>
        <v/>
      </c>
      <c r="D3" t="n">
        <v>87</v>
      </c>
      <c r="E3" t="n">
        <v>8</v>
      </c>
      <c r="F3" t="n">
        <v>139</v>
      </c>
      <c r="G3" s="1" t="n">
        <v>6815.61</v>
      </c>
      <c r="H3" s="1" t="n">
        <v>1072.17</v>
      </c>
      <c r="I3" t="n">
        <v>4</v>
      </c>
      <c r="J3" t="n">
        <v>4</v>
      </c>
    </row>
    <row r="4" ht="12" customHeight="1">
      <c r="A4" t="n">
        <v>3</v>
      </c>
      <c r="B4" t="inlineStr">
        <is>
          <t>F</t>
        </is>
      </c>
      <c r="C4">
        <f>IF(B4="F",1,0)</f>
        <v/>
      </c>
      <c r="D4" t="n">
        <v>70</v>
      </c>
      <c r="E4" t="n">
        <v>10</v>
      </c>
      <c r="F4" t="n">
        <v>34</v>
      </c>
      <c r="G4" s="1" t="n">
        <v>7596.68</v>
      </c>
      <c r="H4" s="1" t="n">
        <v>4096.98</v>
      </c>
      <c r="I4" t="n">
        <v>6</v>
      </c>
      <c r="J4" t="n">
        <v>0</v>
      </c>
    </row>
    <row r="5" ht="12" customHeight="1">
      <c r="A5" t="n">
        <v>4</v>
      </c>
      <c r="B5" t="inlineStr">
        <is>
          <t>M</t>
        </is>
      </c>
      <c r="C5">
        <f>IF(B5="F",1,0)</f>
        <v/>
      </c>
      <c r="D5" t="n">
        <v>72</v>
      </c>
      <c r="E5" t="n">
        <v>5</v>
      </c>
      <c r="F5" t="n">
        <v>140</v>
      </c>
      <c r="G5" s="1" t="n">
        <v>6450.77</v>
      </c>
      <c r="H5" s="1" t="n">
        <v>1710.79</v>
      </c>
      <c r="I5" t="n">
        <v>5</v>
      </c>
      <c r="J5" t="n">
        <v>0</v>
      </c>
    </row>
    <row r="6" ht="12" customHeight="1">
      <c r="A6" t="n">
        <v>5</v>
      </c>
      <c r="B6" t="inlineStr">
        <is>
          <t>F</t>
        </is>
      </c>
      <c r="C6">
        <f>IF(B6="F",1,0)</f>
        <v/>
      </c>
      <c r="D6" t="n">
        <v>82</v>
      </c>
      <c r="E6" t="n">
        <v>3</v>
      </c>
      <c r="F6" t="n">
        <v>141</v>
      </c>
      <c r="G6" s="1" t="n">
        <v>3542.79</v>
      </c>
      <c r="H6" s="1" t="n">
        <v>1914.9</v>
      </c>
      <c r="I6" t="n">
        <v>3</v>
      </c>
      <c r="J6" t="n">
        <v>7</v>
      </c>
    </row>
    <row r="7" ht="12" customHeight="1">
      <c r="A7" t="n">
        <v>6</v>
      </c>
      <c r="B7" t="inlineStr">
        <is>
          <t>F</t>
        </is>
      </c>
      <c r="C7">
        <f>IF(B7="F",1,0)</f>
        <v/>
      </c>
      <c r="D7" t="n">
        <v>85</v>
      </c>
      <c r="E7" t="n">
        <v>2</v>
      </c>
      <c r="F7" t="n">
        <v>15</v>
      </c>
      <c r="G7" s="1" t="n">
        <v>2590.86</v>
      </c>
      <c r="H7" s="1" t="n">
        <v>2601.14</v>
      </c>
      <c r="I7" t="n">
        <v>5</v>
      </c>
      <c r="J7" t="n">
        <v>4</v>
      </c>
    </row>
    <row r="8" ht="12" customHeight="1">
      <c r="A8" t="n">
        <v>7</v>
      </c>
      <c r="B8" t="inlineStr">
        <is>
          <t>F</t>
        </is>
      </c>
      <c r="C8">
        <f>IF(B8="F",1,0)</f>
        <v/>
      </c>
      <c r="D8" t="n">
        <v>73</v>
      </c>
      <c r="E8" t="n">
        <v>5</v>
      </c>
      <c r="F8" t="n">
        <v>294</v>
      </c>
      <c r="G8" s="1" t="n">
        <v>5082.83</v>
      </c>
      <c r="H8" s="1" t="n">
        <v>2035.31</v>
      </c>
      <c r="I8" t="n">
        <v>7</v>
      </c>
      <c r="J8" t="n">
        <v>2</v>
      </c>
    </row>
    <row r="9" ht="12" customHeight="1">
      <c r="A9" t="n">
        <v>8</v>
      </c>
      <c r="B9" t="inlineStr">
        <is>
          <t>M</t>
        </is>
      </c>
      <c r="C9">
        <f>IF(B9="F",1,0)</f>
        <v/>
      </c>
      <c r="D9" t="n">
        <v>65</v>
      </c>
      <c r="E9" t="n">
        <v>6</v>
      </c>
      <c r="F9" t="n">
        <v>241</v>
      </c>
      <c r="G9" s="1" t="n">
        <v>3580.55</v>
      </c>
      <c r="H9" s="1" t="n">
        <v>2320.42</v>
      </c>
      <c r="I9" t="n">
        <v>6</v>
      </c>
      <c r="J9" t="n">
        <v>0</v>
      </c>
    </row>
    <row r="10" ht="12" customHeight="1">
      <c r="A10" t="n">
        <v>9</v>
      </c>
      <c r="B10" t="inlineStr">
        <is>
          <t>M</t>
        </is>
      </c>
      <c r="C10">
        <f>IF(B10="F",1,0)</f>
        <v/>
      </c>
      <c r="D10" t="n">
        <v>73</v>
      </c>
      <c r="E10" t="n">
        <v>6</v>
      </c>
      <c r="F10" t="n">
        <v>335</v>
      </c>
      <c r="G10" s="1" t="n">
        <v>11045.79</v>
      </c>
      <c r="H10" s="1" t="n">
        <v>4184.26</v>
      </c>
      <c r="I10" t="n">
        <v>1</v>
      </c>
      <c r="J10" t="n">
        <v>0</v>
      </c>
    </row>
    <row r="11" ht="12" customHeight="1">
      <c r="A11" t="n">
        <v>10</v>
      </c>
      <c r="B11" t="inlineStr">
        <is>
          <t>F</t>
        </is>
      </c>
      <c r="C11">
        <f>IF(B11="F",1,0)</f>
        <v/>
      </c>
      <c r="D11" t="n">
        <v>94</v>
      </c>
      <c r="E11" t="n">
        <v>14</v>
      </c>
      <c r="F11" t="n">
        <v>148</v>
      </c>
      <c r="G11" s="1" t="n">
        <v>19708.11</v>
      </c>
      <c r="H11" s="1" t="n">
        <v>12158.49</v>
      </c>
      <c r="I11" t="n">
        <v>4</v>
      </c>
      <c r="J11" t="n">
        <v>0</v>
      </c>
    </row>
    <row r="12" ht="12" customHeight="1">
      <c r="A12" t="n">
        <v>11</v>
      </c>
      <c r="B12" t="inlineStr">
        <is>
          <t>F</t>
        </is>
      </c>
      <c r="C12">
        <f>IF(B12="F",1,0)</f>
        <v/>
      </c>
      <c r="D12" t="n">
        <v>94</v>
      </c>
      <c r="E12" t="n">
        <v>11</v>
      </c>
      <c r="F12" t="n">
        <v>89</v>
      </c>
      <c r="G12" s="1" t="n">
        <v>8953.379999999999</v>
      </c>
      <c r="H12" s="1" t="n">
        <v>4345.84</v>
      </c>
      <c r="I12" t="n">
        <v>4</v>
      </c>
      <c r="J12" t="n">
        <v>0</v>
      </c>
    </row>
    <row r="13" ht="12" customHeight="1">
      <c r="A13" t="n">
        <v>12</v>
      </c>
      <c r="B13" t="inlineStr">
        <is>
          <t>M</t>
        </is>
      </c>
      <c r="C13">
        <f>IF(B13="F",1,0)</f>
        <v/>
      </c>
      <c r="D13" t="n">
        <v>79</v>
      </c>
      <c r="E13" t="n">
        <v>5</v>
      </c>
      <c r="F13" t="n">
        <v>127</v>
      </c>
      <c r="G13" s="1" t="n">
        <v>7000.21</v>
      </c>
      <c r="H13" s="1" t="n">
        <v>3993.48</v>
      </c>
      <c r="I13" t="n">
        <v>5</v>
      </c>
      <c r="J13" t="n">
        <v>0</v>
      </c>
    </row>
    <row r="14" ht="12" customHeight="1">
      <c r="A14" t="n">
        <v>13</v>
      </c>
      <c r="B14" t="inlineStr">
        <is>
          <t>M</t>
        </is>
      </c>
      <c r="C14">
        <f>IF(B14="F",1,0)</f>
        <v/>
      </c>
      <c r="D14" t="n">
        <v>82</v>
      </c>
      <c r="E14" t="n">
        <v>6</v>
      </c>
      <c r="F14" t="n">
        <v>89</v>
      </c>
      <c r="G14" s="1" t="n">
        <v>5330.24</v>
      </c>
      <c r="H14" s="1" t="n">
        <v>3408.07</v>
      </c>
      <c r="I14" t="n">
        <v>4</v>
      </c>
      <c r="J14" t="n">
        <v>0</v>
      </c>
    </row>
    <row r="15" ht="12" customHeight="1">
      <c r="A15" t="n">
        <v>14</v>
      </c>
      <c r="B15" t="inlineStr">
        <is>
          <t>F</t>
        </is>
      </c>
      <c r="C15">
        <f>IF(B15="F",1,0)</f>
        <v/>
      </c>
      <c r="D15" t="n">
        <v>76</v>
      </c>
      <c r="E15" t="n">
        <v>3</v>
      </c>
      <c r="F15" t="n">
        <v>122</v>
      </c>
      <c r="G15" s="1" t="n">
        <v>6864.63</v>
      </c>
      <c r="H15" s="1" t="n">
        <v>3637.35</v>
      </c>
      <c r="I15" t="n">
        <v>5</v>
      </c>
      <c r="J15" t="n">
        <v>4</v>
      </c>
    </row>
    <row r="16" ht="12" customHeight="1">
      <c r="A16" t="n">
        <v>15</v>
      </c>
      <c r="B16" t="inlineStr">
        <is>
          <t>M</t>
        </is>
      </c>
      <c r="C16">
        <f>IF(B16="F",1,0)</f>
        <v/>
      </c>
      <c r="D16" t="n">
        <v>72</v>
      </c>
      <c r="E16" t="n">
        <v>3</v>
      </c>
      <c r="F16" t="n">
        <v>336</v>
      </c>
      <c r="G16" s="1" t="n">
        <v>4318.13</v>
      </c>
      <c r="H16" s="1" t="n">
        <v>2676.01</v>
      </c>
      <c r="I16" t="n">
        <v>2</v>
      </c>
      <c r="J16" t="n">
        <v>0</v>
      </c>
    </row>
    <row r="17" ht="12" customHeight="1">
      <c r="A17" t="n">
        <v>16</v>
      </c>
      <c r="B17" t="inlineStr">
        <is>
          <t>F</t>
        </is>
      </c>
      <c r="C17">
        <f>IF(B17="F",1,0)</f>
        <v/>
      </c>
      <c r="D17" t="n">
        <v>91</v>
      </c>
      <c r="E17" t="n">
        <v>7</v>
      </c>
      <c r="F17" t="n">
        <v>321</v>
      </c>
      <c r="G17" s="1" t="n">
        <v>6424.3</v>
      </c>
      <c r="H17" s="1" t="n">
        <v>1510.2</v>
      </c>
      <c r="I17" t="n">
        <v>3</v>
      </c>
      <c r="J17" t="n">
        <v>0</v>
      </c>
    </row>
    <row r="18" ht="12" customHeight="1">
      <c r="A18" t="n">
        <v>17</v>
      </c>
      <c r="B18" t="inlineStr">
        <is>
          <t>F</t>
        </is>
      </c>
      <c r="C18">
        <f>IF(B18="F",1,0)</f>
        <v/>
      </c>
      <c r="D18" t="n">
        <v>90</v>
      </c>
      <c r="E18" t="n">
        <v>6</v>
      </c>
      <c r="F18" t="n">
        <v>174</v>
      </c>
      <c r="G18" s="1" t="n">
        <v>5184.53</v>
      </c>
      <c r="H18" s="1" t="n">
        <v>3642.44</v>
      </c>
      <c r="I18" t="n">
        <v>6</v>
      </c>
      <c r="J18" t="n">
        <v>5</v>
      </c>
    </row>
    <row r="19" ht="12" customHeight="1">
      <c r="A19" t="n">
        <v>18</v>
      </c>
      <c r="B19" t="inlineStr">
        <is>
          <t>F</t>
        </is>
      </c>
      <c r="C19">
        <f>IF(B19="F",1,0)</f>
        <v/>
      </c>
      <c r="D19" t="n">
        <v>83</v>
      </c>
      <c r="E19" t="n">
        <v>3</v>
      </c>
      <c r="F19" t="n">
        <v>143</v>
      </c>
      <c r="G19" s="1" t="n">
        <v>1871.78</v>
      </c>
      <c r="H19" s="1" t="n">
        <v>1167.65</v>
      </c>
      <c r="I19" t="n">
        <v>6</v>
      </c>
      <c r="J19" t="n">
        <v>0</v>
      </c>
    </row>
    <row r="20" ht="12" customHeight="1">
      <c r="A20" t="n">
        <v>19</v>
      </c>
      <c r="B20" t="inlineStr">
        <is>
          <t>F</t>
        </is>
      </c>
      <c r="C20">
        <f>IF(B20="F",1,0)</f>
        <v/>
      </c>
      <c r="D20" t="n">
        <v>82</v>
      </c>
      <c r="E20" t="n">
        <v>11</v>
      </c>
      <c r="F20" t="n">
        <v>358</v>
      </c>
      <c r="G20" s="1" t="n">
        <v>11179.97</v>
      </c>
      <c r="H20" s="1" t="n">
        <v>3432.13</v>
      </c>
      <c r="I20" t="n">
        <v>9</v>
      </c>
      <c r="J20" t="n">
        <v>6</v>
      </c>
    </row>
    <row r="21" ht="12" customHeight="1">
      <c r="A21" t="n">
        <v>20</v>
      </c>
      <c r="B21" t="inlineStr">
        <is>
          <t>F</t>
        </is>
      </c>
      <c r="C21">
        <f>IF(B21="F",1,0)</f>
        <v/>
      </c>
      <c r="D21" t="n">
        <v>49</v>
      </c>
      <c r="E21" t="n">
        <v>2</v>
      </c>
      <c r="F21" t="n">
        <v>140</v>
      </c>
      <c r="G21" s="1" t="n">
        <v>3405.38</v>
      </c>
      <c r="H21" s="1" t="n">
        <v>1710.79</v>
      </c>
      <c r="I21" t="n">
        <v>1</v>
      </c>
      <c r="J21" t="n">
        <v>0</v>
      </c>
    </row>
    <row r="22" ht="12" customHeight="1">
      <c r="A22" t="n">
        <v>21</v>
      </c>
      <c r="B22" t="inlineStr">
        <is>
          <t>F</t>
        </is>
      </c>
      <c r="C22">
        <f>IF(B22="F",1,0)</f>
        <v/>
      </c>
      <c r="D22" t="n">
        <v>88</v>
      </c>
      <c r="E22" t="n">
        <v>2</v>
      </c>
      <c r="F22" t="n">
        <v>143</v>
      </c>
      <c r="G22" s="1" t="n">
        <v>1731.73</v>
      </c>
      <c r="H22" s="1" t="n">
        <v>1979.28</v>
      </c>
      <c r="I22" t="n">
        <v>4</v>
      </c>
      <c r="J22" t="n">
        <v>7</v>
      </c>
    </row>
    <row r="23" ht="12" customHeight="1">
      <c r="A23" t="n">
        <v>22</v>
      </c>
      <c r="B23" t="inlineStr">
        <is>
          <t>F</t>
        </is>
      </c>
      <c r="C23">
        <f>IF(B23="F",1,0)</f>
        <v/>
      </c>
      <c r="D23" t="n">
        <v>75</v>
      </c>
      <c r="E23" t="n">
        <v>2</v>
      </c>
      <c r="F23" t="n">
        <v>159</v>
      </c>
      <c r="G23" s="1" t="n">
        <v>5384.92</v>
      </c>
      <c r="H23" s="1" t="n">
        <v>3316.59</v>
      </c>
      <c r="I23" t="n">
        <v>2</v>
      </c>
      <c r="J23" t="n">
        <v>0</v>
      </c>
    </row>
    <row r="24" ht="12" customHeight="1">
      <c r="A24" t="n">
        <v>23</v>
      </c>
      <c r="B24" t="inlineStr">
        <is>
          <t>M</t>
        </is>
      </c>
      <c r="C24">
        <f>IF(B24="F",1,0)</f>
        <v/>
      </c>
      <c r="D24" t="n">
        <v>81</v>
      </c>
      <c r="E24" t="n">
        <v>7</v>
      </c>
      <c r="F24" t="n">
        <v>89</v>
      </c>
      <c r="G24" s="1" t="n">
        <v>5216.91</v>
      </c>
      <c r="H24" s="1" t="n">
        <v>3613.06</v>
      </c>
      <c r="I24" t="n">
        <v>2</v>
      </c>
      <c r="J24" t="n">
        <v>4</v>
      </c>
    </row>
    <row r="25" ht="12" customHeight="1">
      <c r="A25" t="n">
        <v>24</v>
      </c>
      <c r="B25" t="inlineStr">
        <is>
          <t>F</t>
        </is>
      </c>
      <c r="C25">
        <f>IF(B25="F",1,0)</f>
        <v/>
      </c>
      <c r="D25" t="n">
        <v>76</v>
      </c>
      <c r="E25" t="n">
        <v>4</v>
      </c>
      <c r="F25" t="n">
        <v>294</v>
      </c>
      <c r="G25" s="1" t="n">
        <v>2489.65</v>
      </c>
      <c r="H25" s="1" t="n">
        <v>2201.93</v>
      </c>
      <c r="I25" t="n">
        <v>3</v>
      </c>
      <c r="J25" t="n">
        <v>0</v>
      </c>
    </row>
    <row r="26" ht="12" customHeight="1">
      <c r="A26" t="n">
        <v>25</v>
      </c>
      <c r="B26" t="inlineStr">
        <is>
          <t>F</t>
        </is>
      </c>
      <c r="C26">
        <f>IF(B26="F",1,0)</f>
        <v/>
      </c>
      <c r="D26" t="n">
        <v>85</v>
      </c>
      <c r="E26" t="n">
        <v>10</v>
      </c>
      <c r="F26" t="n">
        <v>473</v>
      </c>
      <c r="G26" s="1" t="n">
        <v>8244.25</v>
      </c>
      <c r="H26" s="1" t="n">
        <v>12772.75</v>
      </c>
      <c r="I26" t="n">
        <v>4</v>
      </c>
      <c r="J26" t="n">
        <v>0</v>
      </c>
    </row>
    <row r="27" ht="12" customHeight="1">
      <c r="A27" t="n">
        <v>26</v>
      </c>
      <c r="B27" t="inlineStr">
        <is>
          <t>F</t>
        </is>
      </c>
      <c r="C27">
        <f>IF(B27="F",1,0)</f>
        <v/>
      </c>
      <c r="D27" t="n">
        <v>84</v>
      </c>
      <c r="E27" t="n">
        <v>6</v>
      </c>
      <c r="F27" t="n">
        <v>128</v>
      </c>
      <c r="G27" s="1" t="n">
        <v>3548.05</v>
      </c>
      <c r="H27" s="1" t="n">
        <v>2163.29</v>
      </c>
      <c r="I27" t="n">
        <v>8</v>
      </c>
      <c r="J27" t="n">
        <v>4</v>
      </c>
    </row>
    <row r="28" ht="12" customHeight="1">
      <c r="A28" t="n">
        <v>27</v>
      </c>
      <c r="B28" t="inlineStr">
        <is>
          <t>F</t>
        </is>
      </c>
      <c r="C28">
        <f>IF(B28="F",1,0)</f>
        <v/>
      </c>
      <c r="D28" t="n">
        <v>77</v>
      </c>
      <c r="E28" t="n">
        <v>3</v>
      </c>
      <c r="F28" t="n">
        <v>15</v>
      </c>
      <c r="G28" s="1" t="n">
        <v>4713.26</v>
      </c>
      <c r="H28" s="1" t="n">
        <v>1801.73</v>
      </c>
      <c r="I28" t="n">
        <v>4</v>
      </c>
      <c r="J28" t="n">
        <v>0</v>
      </c>
    </row>
    <row r="29" ht="12" customHeight="1">
      <c r="A29" t="n">
        <v>28</v>
      </c>
      <c r="B29" t="inlineStr">
        <is>
          <t>F</t>
        </is>
      </c>
      <c r="C29">
        <f>IF(B29="F",1,0)</f>
        <v/>
      </c>
      <c r="D29" t="n">
        <v>94</v>
      </c>
      <c r="E29" t="n">
        <v>6</v>
      </c>
      <c r="F29" t="n">
        <v>121</v>
      </c>
      <c r="G29" s="1" t="n">
        <v>5804.21</v>
      </c>
      <c r="H29" s="1" t="n">
        <v>5282.36</v>
      </c>
      <c r="I29" t="n">
        <v>5</v>
      </c>
      <c r="J29" t="n">
        <v>7</v>
      </c>
    </row>
    <row r="30" ht="12" customHeight="1">
      <c r="A30" t="n">
        <v>29</v>
      </c>
      <c r="B30" t="inlineStr">
        <is>
          <t>F</t>
        </is>
      </c>
      <c r="C30">
        <f>IF(B30="F",1,0)</f>
        <v/>
      </c>
      <c r="D30" t="n">
        <v>66</v>
      </c>
      <c r="E30" t="n">
        <v>6</v>
      </c>
      <c r="F30" t="n">
        <v>128</v>
      </c>
      <c r="G30" s="1" t="n">
        <v>2945.22</v>
      </c>
      <c r="H30" s="1" t="n">
        <v>2849.72</v>
      </c>
      <c r="I30" t="n">
        <v>2</v>
      </c>
      <c r="J30" t="n">
        <v>0</v>
      </c>
    </row>
    <row r="31" ht="12" customHeight="1">
      <c r="A31" t="n">
        <v>30</v>
      </c>
      <c r="B31" t="inlineStr">
        <is>
          <t>M</t>
        </is>
      </c>
      <c r="C31">
        <f>IF(B31="F",1,0)</f>
        <v/>
      </c>
      <c r="D31" t="n">
        <v>72</v>
      </c>
      <c r="E31" t="n">
        <v>1</v>
      </c>
      <c r="F31" t="n">
        <v>140</v>
      </c>
      <c r="G31" s="1" t="n">
        <v>1035.75</v>
      </c>
      <c r="H31" s="1" t="n">
        <v>1685.62</v>
      </c>
      <c r="I31" t="n">
        <v>5</v>
      </c>
      <c r="J31" t="n">
        <v>4</v>
      </c>
    </row>
    <row r="32" ht="12" customHeight="1">
      <c r="A32" t="n">
        <v>31</v>
      </c>
      <c r="B32" t="inlineStr">
        <is>
          <t>M</t>
        </is>
      </c>
      <c r="C32">
        <f>IF(B32="F",1,0)</f>
        <v/>
      </c>
      <c r="D32" t="n">
        <v>78</v>
      </c>
      <c r="E32" t="n">
        <v>3</v>
      </c>
      <c r="F32" t="n">
        <v>209</v>
      </c>
      <c r="G32" s="1" t="n">
        <v>17005.45</v>
      </c>
      <c r="H32" s="1" t="n">
        <v>7534.44</v>
      </c>
      <c r="I32" t="n">
        <v>1</v>
      </c>
      <c r="J32" t="n">
        <v>7</v>
      </c>
    </row>
    <row r="33" ht="12" customHeight="1">
      <c r="A33" t="n">
        <v>32</v>
      </c>
      <c r="B33" t="inlineStr">
        <is>
          <t>F</t>
        </is>
      </c>
      <c r="C33">
        <f>IF(B33="F",1,0)</f>
        <v/>
      </c>
      <c r="D33" t="n">
        <v>86</v>
      </c>
      <c r="E33" t="n">
        <v>3</v>
      </c>
      <c r="F33" t="n">
        <v>143</v>
      </c>
      <c r="G33" s="1" t="n">
        <v>4637.96</v>
      </c>
      <c r="H33" s="1" t="n">
        <v>1447.84</v>
      </c>
      <c r="I33" t="n">
        <v>5</v>
      </c>
      <c r="J33" t="n">
        <v>0</v>
      </c>
    </row>
    <row r="34" ht="12" customHeight="1">
      <c r="A34" t="n">
        <v>33</v>
      </c>
      <c r="B34" t="inlineStr">
        <is>
          <t>F</t>
        </is>
      </c>
      <c r="C34">
        <f>IF(B34="F",1,0)</f>
        <v/>
      </c>
      <c r="D34" t="n">
        <v>70</v>
      </c>
      <c r="E34" t="n">
        <v>5</v>
      </c>
      <c r="F34" t="n">
        <v>209</v>
      </c>
      <c r="G34" s="1" t="n">
        <v>17480.97</v>
      </c>
      <c r="H34" s="1" t="n">
        <v>7566.98</v>
      </c>
      <c r="I34" t="n">
        <v>5</v>
      </c>
      <c r="J34" t="n">
        <v>0</v>
      </c>
    </row>
    <row r="35" ht="12" customHeight="1">
      <c r="A35" t="n">
        <v>34</v>
      </c>
      <c r="B35" t="inlineStr">
        <is>
          <t>M</t>
        </is>
      </c>
      <c r="C35">
        <f>IF(B35="F",1,0)</f>
        <v/>
      </c>
      <c r="D35" t="n">
        <v>72</v>
      </c>
      <c r="E35" t="n">
        <v>5</v>
      </c>
      <c r="F35" t="n">
        <v>96</v>
      </c>
      <c r="G35" s="1" t="n">
        <v>5029.09</v>
      </c>
      <c r="H35" s="1" t="n">
        <v>3306.8</v>
      </c>
      <c r="I35" t="n">
        <v>8</v>
      </c>
      <c r="J35" t="n">
        <v>4</v>
      </c>
    </row>
    <row r="36" ht="12" customHeight="1">
      <c r="A36" t="n">
        <v>35</v>
      </c>
      <c r="B36" t="inlineStr">
        <is>
          <t>M</t>
        </is>
      </c>
      <c r="C36">
        <f>IF(B36="F",1,0)</f>
        <v/>
      </c>
      <c r="D36" t="n">
        <v>91</v>
      </c>
      <c r="E36" t="n">
        <v>3</v>
      </c>
      <c r="F36" t="n">
        <v>144</v>
      </c>
      <c r="G36" s="1" t="n">
        <v>3078.99</v>
      </c>
      <c r="H36" s="1" t="n">
        <v>3351.64</v>
      </c>
      <c r="I36" t="n">
        <v>5</v>
      </c>
      <c r="J36" t="n">
        <v>4</v>
      </c>
    </row>
    <row r="37" ht="12" customHeight="1">
      <c r="A37" t="n">
        <v>36</v>
      </c>
      <c r="B37" t="inlineStr">
        <is>
          <t>M</t>
        </is>
      </c>
      <c r="C37">
        <f>IF(B37="F",1,0)</f>
        <v/>
      </c>
      <c r="D37" t="n">
        <v>75</v>
      </c>
      <c r="E37" t="n">
        <v>2</v>
      </c>
      <c r="F37" t="n">
        <v>90</v>
      </c>
      <c r="G37" s="1" t="n">
        <v>2146.99</v>
      </c>
      <c r="H37" s="1" t="n">
        <v>1968.05</v>
      </c>
      <c r="I37" t="n">
        <v>2</v>
      </c>
      <c r="J37" t="n">
        <v>4</v>
      </c>
    </row>
    <row r="38" ht="12" customHeight="1">
      <c r="A38" t="n">
        <v>37</v>
      </c>
      <c r="B38" t="inlineStr">
        <is>
          <t>F</t>
        </is>
      </c>
      <c r="C38">
        <f>IF(B38="F",1,0)</f>
        <v/>
      </c>
      <c r="D38" t="n">
        <v>83</v>
      </c>
      <c r="E38" t="n">
        <v>6</v>
      </c>
      <c r="F38" t="n">
        <v>88</v>
      </c>
      <c r="G38" s="1" t="n">
        <v>5482.93</v>
      </c>
      <c r="H38" s="1" t="n">
        <v>3147.39</v>
      </c>
      <c r="I38" t="n">
        <v>2</v>
      </c>
      <c r="J38" t="n">
        <v>0</v>
      </c>
    </row>
    <row r="39" ht="12" customHeight="1">
      <c r="A39" t="n">
        <v>38</v>
      </c>
      <c r="B39" t="inlineStr">
        <is>
          <t>M</t>
        </is>
      </c>
      <c r="C39">
        <f>IF(B39="F",1,0)</f>
        <v/>
      </c>
      <c r="D39" t="n">
        <v>82</v>
      </c>
      <c r="E39" t="n">
        <v>1</v>
      </c>
      <c r="F39" t="n">
        <v>183</v>
      </c>
      <c r="G39" s="1" t="n">
        <v>1078.56</v>
      </c>
      <c r="H39" s="1" t="n">
        <v>1386.42</v>
      </c>
      <c r="I39" t="n">
        <v>6</v>
      </c>
      <c r="J39" t="n">
        <v>5</v>
      </c>
    </row>
    <row r="40" ht="12" customHeight="1">
      <c r="A40" t="n">
        <v>39</v>
      </c>
      <c r="B40" t="inlineStr">
        <is>
          <t>F</t>
        </is>
      </c>
      <c r="C40">
        <f>IF(B40="F",1,0)</f>
        <v/>
      </c>
      <c r="D40" t="n">
        <v>82</v>
      </c>
      <c r="E40" t="n">
        <v>10</v>
      </c>
      <c r="F40" t="n">
        <v>430</v>
      </c>
      <c r="G40" s="1" t="n">
        <v>9931.209999999999</v>
      </c>
      <c r="H40" s="1" t="n">
        <v>3530</v>
      </c>
      <c r="I40" t="n">
        <v>1</v>
      </c>
      <c r="J40" t="n">
        <v>0</v>
      </c>
    </row>
    <row r="41" ht="12" customHeight="1">
      <c r="A41" t="n">
        <v>40</v>
      </c>
      <c r="B41" t="inlineStr">
        <is>
          <t>F</t>
        </is>
      </c>
      <c r="C41">
        <f>IF(B41="F",1,0)</f>
        <v/>
      </c>
      <c r="D41" t="n">
        <v>92</v>
      </c>
      <c r="E41" t="n">
        <v>2</v>
      </c>
      <c r="F41" t="n">
        <v>138</v>
      </c>
      <c r="G41" s="1" t="n">
        <v>2451.69</v>
      </c>
      <c r="H41" s="1" t="n">
        <v>2266.56</v>
      </c>
      <c r="I41" t="n">
        <v>2</v>
      </c>
      <c r="J41" t="n">
        <v>4</v>
      </c>
    </row>
    <row r="42" ht="12" customHeight="1">
      <c r="A42" t="n">
        <v>41</v>
      </c>
      <c r="B42" t="inlineStr">
        <is>
          <t>F</t>
        </is>
      </c>
      <c r="C42">
        <f>IF(B42="F",1,0)</f>
        <v/>
      </c>
      <c r="D42" t="n">
        <v>79</v>
      </c>
      <c r="E42" t="n">
        <v>2</v>
      </c>
      <c r="F42" t="n">
        <v>88</v>
      </c>
      <c r="G42" s="1" t="n">
        <v>2834.68</v>
      </c>
      <c r="H42" s="1" t="n">
        <v>3579.24</v>
      </c>
      <c r="I42" t="n">
        <v>1</v>
      </c>
      <c r="J42" t="n">
        <v>0</v>
      </c>
    </row>
    <row r="43" ht="12" customHeight="1">
      <c r="A43" t="n">
        <v>42</v>
      </c>
      <c r="B43" t="inlineStr">
        <is>
          <t>F</t>
        </is>
      </c>
      <c r="C43">
        <f>IF(B43="F",1,0)</f>
        <v/>
      </c>
      <c r="D43" t="n">
        <v>69</v>
      </c>
      <c r="E43" t="n">
        <v>2</v>
      </c>
      <c r="F43" t="n">
        <v>447</v>
      </c>
      <c r="G43" s="1" t="n">
        <v>1547.81</v>
      </c>
      <c r="H43" s="1" t="n">
        <v>988</v>
      </c>
      <c r="I43" t="n">
        <v>3</v>
      </c>
      <c r="J43" t="n">
        <v>0</v>
      </c>
    </row>
    <row r="44" ht="12" customHeight="1">
      <c r="A44" t="n">
        <v>43</v>
      </c>
      <c r="B44" t="inlineStr">
        <is>
          <t>F</t>
        </is>
      </c>
      <c r="C44">
        <f>IF(B44="F",1,0)</f>
        <v/>
      </c>
      <c r="D44" t="n">
        <v>76</v>
      </c>
      <c r="E44" t="n">
        <v>3</v>
      </c>
      <c r="F44" t="n">
        <v>183</v>
      </c>
      <c r="G44" s="1" t="n">
        <v>1876.7</v>
      </c>
      <c r="H44" s="1" t="n">
        <v>1235.8</v>
      </c>
      <c r="I44" t="n">
        <v>1</v>
      </c>
      <c r="J44" t="n">
        <v>0</v>
      </c>
    </row>
    <row r="45" ht="12" customHeight="1">
      <c r="A45" t="n">
        <v>44</v>
      </c>
      <c r="B45" t="inlineStr">
        <is>
          <t>M</t>
        </is>
      </c>
      <c r="C45">
        <f>IF(B45="F",1,0)</f>
        <v/>
      </c>
      <c r="D45" t="n">
        <v>73</v>
      </c>
      <c r="E45" t="n">
        <v>2</v>
      </c>
      <c r="F45" t="n">
        <v>140</v>
      </c>
      <c r="G45" s="1" t="n">
        <v>2781.28</v>
      </c>
      <c r="H45" s="1" t="n">
        <v>1483.79</v>
      </c>
      <c r="I45" t="n">
        <v>4</v>
      </c>
      <c r="J45" t="n">
        <v>0</v>
      </c>
    </row>
    <row r="46" ht="12" customHeight="1">
      <c r="A46" t="n">
        <v>45</v>
      </c>
      <c r="B46" t="inlineStr">
        <is>
          <t>F</t>
        </is>
      </c>
      <c r="C46">
        <f>IF(B46="F",1,0)</f>
        <v/>
      </c>
      <c r="D46" t="n">
        <v>83</v>
      </c>
      <c r="E46" t="n">
        <v>6</v>
      </c>
      <c r="F46" t="n">
        <v>127</v>
      </c>
      <c r="G46" s="1" t="n">
        <v>6460.59</v>
      </c>
      <c r="H46" s="1" t="n">
        <v>3993.48</v>
      </c>
      <c r="I46" t="n">
        <v>5</v>
      </c>
      <c r="J46" t="n">
        <v>0</v>
      </c>
    </row>
    <row r="47" ht="12" customHeight="1">
      <c r="A47" t="n">
        <v>46</v>
      </c>
      <c r="B47" t="inlineStr">
        <is>
          <t>F</t>
        </is>
      </c>
      <c r="C47">
        <f>IF(B47="F",1,0)</f>
        <v/>
      </c>
      <c r="D47" t="n">
        <v>80</v>
      </c>
      <c r="E47" t="n">
        <v>4</v>
      </c>
      <c r="F47" t="n">
        <v>444</v>
      </c>
      <c r="G47" s="1" t="n">
        <v>3026.42</v>
      </c>
      <c r="H47" s="1" t="n">
        <v>1918.32</v>
      </c>
      <c r="I47" t="n">
        <v>1</v>
      </c>
      <c r="J47" t="n">
        <v>6</v>
      </c>
    </row>
    <row r="48" ht="12" customHeight="1">
      <c r="A48" t="n">
        <v>47</v>
      </c>
      <c r="B48" t="inlineStr">
        <is>
          <t>F</t>
        </is>
      </c>
      <c r="C48">
        <f>IF(B48="F",1,0)</f>
        <v/>
      </c>
      <c r="D48" t="n">
        <v>76</v>
      </c>
      <c r="E48" t="n">
        <v>10</v>
      </c>
      <c r="F48" t="n">
        <v>493</v>
      </c>
      <c r="G48" s="1" t="n">
        <v>14769.92</v>
      </c>
      <c r="H48" s="1" t="n">
        <v>5594.68</v>
      </c>
      <c r="I48" t="n">
        <v>4</v>
      </c>
      <c r="J48" t="n">
        <v>5</v>
      </c>
    </row>
    <row r="49" ht="12" customHeight="1">
      <c r="A49" t="n">
        <v>48</v>
      </c>
      <c r="B49" t="inlineStr">
        <is>
          <t>F</t>
        </is>
      </c>
      <c r="C49">
        <f>IF(B49="F",1,0)</f>
        <v/>
      </c>
      <c r="D49" t="n">
        <v>77</v>
      </c>
      <c r="E49" t="n">
        <v>7</v>
      </c>
      <c r="F49" t="n">
        <v>324</v>
      </c>
      <c r="G49" s="1" t="n">
        <v>4425.44</v>
      </c>
      <c r="H49" s="1" t="n">
        <v>1531.55</v>
      </c>
      <c r="I49" t="n">
        <v>5</v>
      </c>
      <c r="J49" t="n">
        <v>5</v>
      </c>
    </row>
    <row r="50" ht="12" customHeight="1">
      <c r="A50" t="n">
        <v>49</v>
      </c>
      <c r="B50" t="inlineStr">
        <is>
          <t>F</t>
        </is>
      </c>
      <c r="C50">
        <f>IF(B50="F",1,0)</f>
        <v/>
      </c>
      <c r="D50" t="n">
        <v>85</v>
      </c>
      <c r="E50" t="n">
        <v>4</v>
      </c>
      <c r="F50" t="n">
        <v>140</v>
      </c>
      <c r="G50" s="1" t="n">
        <v>5151.52</v>
      </c>
      <c r="H50" s="1" t="n">
        <v>1710.79</v>
      </c>
      <c r="I50" t="n">
        <v>5</v>
      </c>
      <c r="J50" t="n">
        <v>0</v>
      </c>
    </row>
    <row r="51" ht="12" customHeight="1">
      <c r="A51" t="n">
        <v>50</v>
      </c>
      <c r="B51" t="inlineStr">
        <is>
          <t>F</t>
        </is>
      </c>
      <c r="C51">
        <f>IF(B51="F",1,0)</f>
        <v/>
      </c>
      <c r="D51" t="n">
        <v>70</v>
      </c>
      <c r="E51" t="n">
        <v>1</v>
      </c>
      <c r="F51" t="n">
        <v>140</v>
      </c>
      <c r="G51" s="1" t="n">
        <v>2404.39</v>
      </c>
      <c r="H51" s="1" t="n">
        <v>735.58</v>
      </c>
      <c r="I51" t="n">
        <v>1</v>
      </c>
      <c r="J51" t="n">
        <v>4</v>
      </c>
    </row>
    <row r="52" ht="12" customHeight="1">
      <c r="A52" t="n">
        <v>51</v>
      </c>
      <c r="B52" t="inlineStr">
        <is>
          <t>M</t>
        </is>
      </c>
      <c r="C52">
        <f>IF(B52="F",1,0)</f>
        <v/>
      </c>
      <c r="D52" t="n">
        <v>81</v>
      </c>
      <c r="E52" t="n">
        <v>2</v>
      </c>
      <c r="F52" t="n">
        <v>140</v>
      </c>
      <c r="G52" s="1" t="n">
        <v>5019.86</v>
      </c>
      <c r="H52" s="1" t="n">
        <v>1730.79</v>
      </c>
      <c r="I52" t="n">
        <v>2</v>
      </c>
      <c r="J52" t="n">
        <v>0</v>
      </c>
    </row>
    <row r="53" ht="12" customHeight="1">
      <c r="A53" t="n">
        <v>52</v>
      </c>
      <c r="B53" t="inlineStr">
        <is>
          <t>F</t>
        </is>
      </c>
      <c r="C53">
        <f>IF(B53="F",1,0)</f>
        <v/>
      </c>
      <c r="D53" t="n">
        <v>83</v>
      </c>
      <c r="E53" t="n">
        <v>9</v>
      </c>
      <c r="F53" t="n">
        <v>138</v>
      </c>
      <c r="G53" s="1" t="n">
        <v>10421.01</v>
      </c>
      <c r="H53" s="1" t="n">
        <v>2384.12</v>
      </c>
      <c r="I53" t="n">
        <v>5</v>
      </c>
      <c r="J53" t="n">
        <v>0</v>
      </c>
    </row>
    <row r="54" ht="12" customHeight="1">
      <c r="A54" t="n">
        <v>53</v>
      </c>
      <c r="B54" t="inlineStr">
        <is>
          <t>M</t>
        </is>
      </c>
      <c r="C54">
        <f>IF(B54="F",1,0)</f>
        <v/>
      </c>
      <c r="D54" t="n">
        <v>76</v>
      </c>
      <c r="E54" t="n">
        <v>2</v>
      </c>
      <c r="F54" t="n">
        <v>269</v>
      </c>
      <c r="G54" s="1" t="n">
        <v>4860.83</v>
      </c>
      <c r="H54" s="1" t="n">
        <v>5688.67</v>
      </c>
      <c r="I54" t="n">
        <v>4</v>
      </c>
      <c r="J54" t="n">
        <v>1</v>
      </c>
    </row>
    <row r="55" ht="12" customHeight="1">
      <c r="A55" t="n">
        <v>54</v>
      </c>
      <c r="B55" t="inlineStr">
        <is>
          <t>F</t>
        </is>
      </c>
      <c r="C55">
        <f>IF(B55="F",1,0)</f>
        <v/>
      </c>
      <c r="D55" t="n">
        <v>88</v>
      </c>
      <c r="E55" t="n">
        <v>3</v>
      </c>
      <c r="F55" t="n">
        <v>140</v>
      </c>
      <c r="G55" s="1" t="n">
        <v>2694.11</v>
      </c>
      <c r="H55" s="1" t="n">
        <v>1564.5</v>
      </c>
      <c r="I55" t="n">
        <v>2</v>
      </c>
      <c r="J55" t="n">
        <v>0</v>
      </c>
    </row>
    <row r="56" ht="12" customHeight="1">
      <c r="A56" t="n">
        <v>55</v>
      </c>
      <c r="B56" t="inlineStr">
        <is>
          <t>M</t>
        </is>
      </c>
      <c r="C56">
        <f>IF(B56="F",1,0)</f>
        <v/>
      </c>
      <c r="D56" t="n">
        <v>88</v>
      </c>
      <c r="E56" t="n">
        <v>4</v>
      </c>
      <c r="F56" t="n">
        <v>208</v>
      </c>
      <c r="G56" s="1" t="n">
        <v>2421.63</v>
      </c>
      <c r="H56" s="1" t="n">
        <v>1346.94</v>
      </c>
      <c r="I56" t="n">
        <v>2</v>
      </c>
      <c r="J56" t="n">
        <v>0</v>
      </c>
    </row>
    <row r="57" ht="12" customHeight="1">
      <c r="A57" t="n">
        <v>56</v>
      </c>
      <c r="B57" t="inlineStr">
        <is>
          <t>F</t>
        </is>
      </c>
      <c r="C57">
        <f>IF(B57="F",1,0)</f>
        <v/>
      </c>
      <c r="D57" t="n">
        <v>89</v>
      </c>
      <c r="E57" t="n">
        <v>2</v>
      </c>
      <c r="F57" t="n">
        <v>15</v>
      </c>
      <c r="G57" s="1" t="n">
        <v>3311.66</v>
      </c>
      <c r="H57" s="1" t="n">
        <v>2065.49</v>
      </c>
      <c r="I57" t="n">
        <v>3</v>
      </c>
      <c r="J57" t="n">
        <v>0</v>
      </c>
    </row>
    <row r="58" ht="12" customHeight="1">
      <c r="A58" t="n">
        <v>57</v>
      </c>
      <c r="B58" t="inlineStr">
        <is>
          <t>M</t>
        </is>
      </c>
      <c r="C58">
        <f>IF(B58="F",1,0)</f>
        <v/>
      </c>
      <c r="D58" t="n">
        <v>39</v>
      </c>
      <c r="E58" t="n">
        <v>1</v>
      </c>
      <c r="F58" t="n">
        <v>434</v>
      </c>
      <c r="G58" s="1" t="n">
        <v>1596.91</v>
      </c>
      <c r="H58" s="1" t="n">
        <v>392</v>
      </c>
      <c r="I58" t="n">
        <v>5</v>
      </c>
      <c r="J58" t="n">
        <v>3</v>
      </c>
    </row>
    <row r="59" ht="12" customHeight="1">
      <c r="A59" t="n">
        <v>58</v>
      </c>
      <c r="B59" t="inlineStr">
        <is>
          <t>F</t>
        </is>
      </c>
      <c r="C59">
        <f>IF(B59="F",1,0)</f>
        <v/>
      </c>
      <c r="D59" t="n">
        <v>89</v>
      </c>
      <c r="E59" t="n">
        <v>5</v>
      </c>
      <c r="F59" t="n">
        <v>88</v>
      </c>
      <c r="G59" s="1" t="n">
        <v>5399.67</v>
      </c>
      <c r="H59" s="1" t="n">
        <v>3048.91</v>
      </c>
      <c r="I59" t="n">
        <v>4</v>
      </c>
      <c r="J59" t="n">
        <v>4</v>
      </c>
    </row>
    <row r="60" ht="12" customHeight="1">
      <c r="A60" t="n">
        <v>59</v>
      </c>
      <c r="B60" t="inlineStr">
        <is>
          <t>M</t>
        </is>
      </c>
      <c r="C60">
        <f>IF(B60="F",1,0)</f>
        <v/>
      </c>
      <c r="D60" t="n">
        <v>80</v>
      </c>
      <c r="E60" t="n">
        <v>12</v>
      </c>
      <c r="F60" t="n">
        <v>78</v>
      </c>
      <c r="G60" s="1" t="n">
        <v>17605.59</v>
      </c>
      <c r="H60" s="1" t="n">
        <v>4432.93</v>
      </c>
      <c r="I60" t="n">
        <v>9</v>
      </c>
      <c r="J60" t="n">
        <v>7</v>
      </c>
    </row>
    <row r="61" ht="12" customHeight="1">
      <c r="A61" t="n">
        <v>60</v>
      </c>
      <c r="B61" t="inlineStr">
        <is>
          <t>F</t>
        </is>
      </c>
      <c r="C61">
        <f>IF(B61="F",1,0)</f>
        <v/>
      </c>
      <c r="D61" t="n">
        <v>71</v>
      </c>
      <c r="E61" t="n">
        <v>7</v>
      </c>
      <c r="F61" t="n">
        <v>89</v>
      </c>
      <c r="G61" s="1" t="n">
        <v>11098.7</v>
      </c>
      <c r="H61" s="1" t="n">
        <v>4256.7</v>
      </c>
      <c r="I61" t="n">
        <v>3</v>
      </c>
      <c r="J61" t="n">
        <v>4</v>
      </c>
    </row>
    <row r="62" ht="12" customHeight="1">
      <c r="A62" t="n">
        <v>61</v>
      </c>
      <c r="B62" t="inlineStr">
        <is>
          <t>F</t>
        </is>
      </c>
      <c r="C62">
        <f>IF(B62="F",1,0)</f>
        <v/>
      </c>
      <c r="D62" t="n">
        <v>90</v>
      </c>
      <c r="E62" t="n">
        <v>4</v>
      </c>
      <c r="F62" t="n">
        <v>89</v>
      </c>
      <c r="G62" s="1" t="n">
        <v>3674.03</v>
      </c>
      <c r="H62" s="1" t="n">
        <v>3609.84</v>
      </c>
      <c r="I62" t="n">
        <v>3</v>
      </c>
      <c r="J62" t="n">
        <v>0</v>
      </c>
    </row>
    <row r="63" ht="12" customHeight="1">
      <c r="A63" t="n">
        <v>62</v>
      </c>
      <c r="B63" t="inlineStr">
        <is>
          <t>M</t>
        </is>
      </c>
      <c r="C63">
        <f>IF(B63="F",1,0)</f>
        <v/>
      </c>
      <c r="D63" t="n">
        <v>91</v>
      </c>
      <c r="E63" t="n">
        <v>4</v>
      </c>
      <c r="F63" t="n">
        <v>316</v>
      </c>
      <c r="G63" s="1" t="n">
        <v>3720.09</v>
      </c>
      <c r="H63" s="1" t="n">
        <v>4269.96</v>
      </c>
      <c r="I63" t="n">
        <v>6</v>
      </c>
      <c r="J63" t="n">
        <v>2</v>
      </c>
    </row>
    <row r="64" ht="12" customHeight="1">
      <c r="A64" t="n">
        <v>63</v>
      </c>
      <c r="B64" t="inlineStr">
        <is>
          <t>F</t>
        </is>
      </c>
      <c r="C64">
        <f>IF(B64="F",1,0)</f>
        <v/>
      </c>
      <c r="D64" t="n">
        <v>73</v>
      </c>
      <c r="E64" t="n">
        <v>1</v>
      </c>
      <c r="F64" t="n">
        <v>140</v>
      </c>
      <c r="G64" s="1" t="n">
        <v>2472.64</v>
      </c>
      <c r="H64" s="1" t="n">
        <v>2356.05</v>
      </c>
      <c r="I64" t="n">
        <v>4</v>
      </c>
      <c r="J64" t="n">
        <v>0</v>
      </c>
    </row>
    <row r="65" ht="12" customHeight="1">
      <c r="A65" t="n">
        <v>64</v>
      </c>
      <c r="B65" t="inlineStr">
        <is>
          <t>F</t>
        </is>
      </c>
      <c r="C65">
        <f>IF(B65="F",1,0)</f>
        <v/>
      </c>
      <c r="D65" t="n">
        <v>77</v>
      </c>
      <c r="E65" t="n">
        <v>7</v>
      </c>
      <c r="F65" t="n">
        <v>166</v>
      </c>
      <c r="G65" s="1" t="n">
        <v>7792.24</v>
      </c>
      <c r="H65" s="1" t="n">
        <v>4538.13</v>
      </c>
      <c r="I65" t="n">
        <v>1</v>
      </c>
      <c r="J65" t="n">
        <v>5</v>
      </c>
    </row>
    <row r="66" ht="12" customHeight="1">
      <c r="A66" t="n">
        <v>65</v>
      </c>
      <c r="B66" t="inlineStr">
        <is>
          <t>F</t>
        </is>
      </c>
      <c r="C66">
        <f>IF(B66="F",1,0)</f>
        <v/>
      </c>
      <c r="D66" t="n">
        <v>78</v>
      </c>
      <c r="E66" t="n">
        <v>2</v>
      </c>
      <c r="F66" t="n">
        <v>175</v>
      </c>
      <c r="G66" s="1" t="n">
        <v>3489.88</v>
      </c>
      <c r="H66" s="1" t="n">
        <v>1430.32</v>
      </c>
      <c r="I66" t="n">
        <v>3</v>
      </c>
      <c r="J66" t="n">
        <v>5</v>
      </c>
    </row>
    <row r="67" ht="12" customHeight="1">
      <c r="A67" t="n">
        <v>66</v>
      </c>
      <c r="B67" t="inlineStr">
        <is>
          <t>F</t>
        </is>
      </c>
      <c r="C67">
        <f>IF(B67="F",1,0)</f>
        <v/>
      </c>
      <c r="D67" t="n">
        <v>79</v>
      </c>
      <c r="E67" t="n">
        <v>4</v>
      </c>
      <c r="F67" t="n">
        <v>203</v>
      </c>
      <c r="G67" s="1" t="n">
        <v>4655.83</v>
      </c>
      <c r="H67" s="1" t="n">
        <v>3965.21</v>
      </c>
      <c r="I67" t="n">
        <v>9</v>
      </c>
      <c r="J67" t="n">
        <v>6</v>
      </c>
    </row>
    <row r="68" ht="12" customHeight="1">
      <c r="A68" t="n">
        <v>67</v>
      </c>
      <c r="B68" t="inlineStr">
        <is>
          <t>F</t>
        </is>
      </c>
      <c r="C68">
        <f>IF(B68="F",1,0)</f>
        <v/>
      </c>
      <c r="D68" t="n">
        <v>85</v>
      </c>
      <c r="E68" t="n">
        <v>14</v>
      </c>
      <c r="F68" t="n">
        <v>87</v>
      </c>
      <c r="G68" s="1" t="n">
        <v>10242.5</v>
      </c>
      <c r="H68" s="1" t="n">
        <v>4531.65</v>
      </c>
      <c r="I68" t="n">
        <v>6</v>
      </c>
      <c r="J68" t="n">
        <v>0</v>
      </c>
    </row>
    <row r="69" ht="12" customHeight="1">
      <c r="A69" t="n">
        <v>68</v>
      </c>
      <c r="B69" t="inlineStr">
        <is>
          <t>F</t>
        </is>
      </c>
      <c r="C69">
        <f>IF(B69="F",1,0)</f>
        <v/>
      </c>
      <c r="D69" t="n">
        <v>74</v>
      </c>
      <c r="E69" t="n">
        <v>1</v>
      </c>
      <c r="F69" t="n">
        <v>296</v>
      </c>
      <c r="G69" s="1" t="n">
        <v>1599.82</v>
      </c>
      <c r="H69" s="1" t="n">
        <v>2628.95</v>
      </c>
      <c r="I69" t="n">
        <v>3</v>
      </c>
      <c r="J69" t="n">
        <v>0</v>
      </c>
    </row>
    <row r="70" ht="12" customHeight="1">
      <c r="A70" t="n">
        <v>69</v>
      </c>
      <c r="B70" t="inlineStr">
        <is>
          <t>M</t>
        </is>
      </c>
      <c r="C70">
        <f>IF(B70="F",1,0)</f>
        <v/>
      </c>
      <c r="D70" t="n">
        <v>78</v>
      </c>
      <c r="E70" t="n">
        <v>10</v>
      </c>
      <c r="F70" t="n">
        <v>294</v>
      </c>
      <c r="G70" s="1" t="n">
        <v>6015.34</v>
      </c>
      <c r="H70" s="1" t="n">
        <v>2003.62</v>
      </c>
      <c r="I70" t="n">
        <v>5</v>
      </c>
      <c r="J70" t="n">
        <v>0</v>
      </c>
    </row>
    <row r="71" ht="12" customHeight="1">
      <c r="A71" t="n">
        <v>70</v>
      </c>
      <c r="B71" t="inlineStr">
        <is>
          <t>F</t>
        </is>
      </c>
      <c r="C71">
        <f>IF(B71="F",1,0)</f>
        <v/>
      </c>
      <c r="D71" t="n">
        <v>92</v>
      </c>
      <c r="E71" t="n">
        <v>2</v>
      </c>
      <c r="F71" t="n">
        <v>127</v>
      </c>
      <c r="G71" s="1" t="n">
        <v>1905.65</v>
      </c>
      <c r="H71" s="1" t="n">
        <v>3993.48</v>
      </c>
      <c r="I71" t="n">
        <v>5</v>
      </c>
      <c r="J71" t="n">
        <v>0</v>
      </c>
    </row>
    <row r="72" ht="12" customHeight="1">
      <c r="A72" t="n">
        <v>71</v>
      </c>
      <c r="B72" t="inlineStr">
        <is>
          <t>M</t>
        </is>
      </c>
      <c r="C72">
        <f>IF(B72="F",1,0)</f>
        <v/>
      </c>
      <c r="D72" t="n">
        <v>56</v>
      </c>
      <c r="E72" t="n">
        <v>1</v>
      </c>
      <c r="F72" t="n">
        <v>294</v>
      </c>
      <c r="G72" s="1" t="n">
        <v>707.7</v>
      </c>
      <c r="H72" s="1" t="n">
        <v>2102.01</v>
      </c>
      <c r="I72" t="n">
        <v>3</v>
      </c>
      <c r="J72" t="n">
        <v>2</v>
      </c>
    </row>
    <row r="73" ht="12" customHeight="1">
      <c r="A73" t="n">
        <v>72</v>
      </c>
      <c r="B73" t="inlineStr">
        <is>
          <t>M</t>
        </is>
      </c>
      <c r="C73">
        <f>IF(B73="F",1,0)</f>
        <v/>
      </c>
      <c r="D73" t="n">
        <v>76</v>
      </c>
      <c r="E73" t="n">
        <v>2</v>
      </c>
      <c r="F73" t="n">
        <v>183</v>
      </c>
      <c r="G73" s="1" t="n">
        <v>3004.67</v>
      </c>
      <c r="H73" s="1" t="n">
        <v>1423.87</v>
      </c>
      <c r="I73" t="n">
        <v>4</v>
      </c>
      <c r="J73" t="n">
        <v>5</v>
      </c>
    </row>
    <row r="74" ht="12" customHeight="1">
      <c r="A74" t="n">
        <v>73</v>
      </c>
      <c r="B74" t="inlineStr">
        <is>
          <t>F</t>
        </is>
      </c>
      <c r="C74">
        <f>IF(B74="F",1,0)</f>
        <v/>
      </c>
      <c r="D74" t="n">
        <v>84</v>
      </c>
      <c r="E74" t="n">
        <v>10</v>
      </c>
      <c r="F74" t="n">
        <v>197</v>
      </c>
      <c r="G74" s="1" t="n">
        <v>18290.04</v>
      </c>
      <c r="H74" s="1" t="n">
        <v>6862.34</v>
      </c>
      <c r="I74" t="n">
        <v>5</v>
      </c>
      <c r="J74" t="n">
        <v>0</v>
      </c>
    </row>
    <row r="75" ht="12" customHeight="1">
      <c r="A75" t="n">
        <v>74</v>
      </c>
      <c r="B75" t="inlineStr">
        <is>
          <t>F</t>
        </is>
      </c>
      <c r="C75">
        <f>IF(B75="F",1,0)</f>
        <v/>
      </c>
      <c r="D75" t="n">
        <v>75</v>
      </c>
      <c r="E75" t="n">
        <v>3</v>
      </c>
      <c r="F75" t="n">
        <v>132</v>
      </c>
      <c r="G75" s="1" t="n">
        <v>5621.92</v>
      </c>
      <c r="H75" s="1" t="n">
        <v>1772.78</v>
      </c>
      <c r="I75" t="n">
        <v>5</v>
      </c>
      <c r="J75" t="n">
        <v>7</v>
      </c>
    </row>
    <row r="76" ht="12" customHeight="1">
      <c r="A76" t="n">
        <v>75</v>
      </c>
      <c r="B76" t="inlineStr">
        <is>
          <t>F</t>
        </is>
      </c>
      <c r="C76">
        <f>IF(B76="F",1,0)</f>
        <v/>
      </c>
      <c r="D76" t="n">
        <v>68</v>
      </c>
      <c r="E76" t="n">
        <v>7</v>
      </c>
      <c r="F76" t="n">
        <v>240</v>
      </c>
      <c r="G76" s="1" t="n">
        <v>5547.71</v>
      </c>
      <c r="H76" s="1" t="n">
        <v>4565.48</v>
      </c>
      <c r="I76" t="n">
        <v>5</v>
      </c>
      <c r="J76" t="n">
        <v>7</v>
      </c>
    </row>
    <row r="77" ht="12" customHeight="1">
      <c r="A77" t="n">
        <v>76</v>
      </c>
      <c r="B77" t="inlineStr">
        <is>
          <t>M</t>
        </is>
      </c>
      <c r="C77">
        <f>IF(B77="F",1,0)</f>
        <v/>
      </c>
      <c r="D77" t="n">
        <v>50</v>
      </c>
      <c r="E77" t="n">
        <v>2</v>
      </c>
      <c r="F77" t="n">
        <v>182</v>
      </c>
      <c r="G77" s="1" t="n">
        <v>2581.72</v>
      </c>
      <c r="H77" s="1" t="n">
        <v>2238.61</v>
      </c>
      <c r="I77" t="n">
        <v>3</v>
      </c>
      <c r="J77" t="n">
        <v>5</v>
      </c>
    </row>
    <row r="78" ht="12" customHeight="1">
      <c r="A78" t="n">
        <v>77</v>
      </c>
      <c r="B78" t="inlineStr">
        <is>
          <t>M</t>
        </is>
      </c>
      <c r="C78">
        <f>IF(B78="F",1,0)</f>
        <v/>
      </c>
      <c r="D78" t="n">
        <v>49</v>
      </c>
      <c r="E78" t="n">
        <v>9</v>
      </c>
      <c r="F78" t="n">
        <v>436</v>
      </c>
      <c r="G78" s="1" t="n">
        <v>7024.64</v>
      </c>
      <c r="H78" s="1" t="n">
        <v>2441</v>
      </c>
      <c r="I78" t="n">
        <v>5</v>
      </c>
      <c r="J78" t="n">
        <v>0</v>
      </c>
    </row>
    <row r="79" ht="12" customHeight="1">
      <c r="A79" t="n">
        <v>78</v>
      </c>
      <c r="B79" t="inlineStr">
        <is>
          <t>M</t>
        </is>
      </c>
      <c r="C79">
        <f>IF(B79="F",1,0)</f>
        <v/>
      </c>
      <c r="D79" t="n">
        <v>76</v>
      </c>
      <c r="E79" t="n">
        <v>3</v>
      </c>
      <c r="F79" t="n">
        <v>175</v>
      </c>
      <c r="G79" s="1" t="n">
        <v>4242.1</v>
      </c>
      <c r="H79" s="1" t="n">
        <v>1344.35</v>
      </c>
      <c r="I79" t="n">
        <v>4</v>
      </c>
      <c r="J79" t="n">
        <v>5</v>
      </c>
    </row>
    <row r="80" ht="12" customHeight="1">
      <c r="A80" t="n">
        <v>79</v>
      </c>
      <c r="B80" t="inlineStr">
        <is>
          <t>M</t>
        </is>
      </c>
      <c r="C80">
        <f>IF(B80="F",1,0)</f>
        <v/>
      </c>
      <c r="D80" t="n">
        <v>76</v>
      </c>
      <c r="E80" t="n">
        <v>3</v>
      </c>
      <c r="F80" t="n">
        <v>207</v>
      </c>
      <c r="G80" s="1" t="n">
        <v>4286.9</v>
      </c>
      <c r="H80" s="1" t="n">
        <v>3045.51</v>
      </c>
      <c r="I80" t="n">
        <v>2</v>
      </c>
      <c r="J80" t="n">
        <v>5</v>
      </c>
    </row>
    <row r="81" ht="12" customHeight="1">
      <c r="A81" t="n">
        <v>80</v>
      </c>
      <c r="B81" t="inlineStr">
        <is>
          <t>F</t>
        </is>
      </c>
      <c r="C81">
        <f>IF(B81="F",1,0)</f>
        <v/>
      </c>
      <c r="D81" t="n">
        <v>67</v>
      </c>
      <c r="E81" t="n">
        <v>2</v>
      </c>
      <c r="F81" t="n">
        <v>359</v>
      </c>
      <c r="G81" s="1" t="n">
        <v>12313.78</v>
      </c>
      <c r="H81" s="1" t="n">
        <v>2393.04</v>
      </c>
      <c r="I81" t="n">
        <v>3</v>
      </c>
      <c r="J81" t="n">
        <v>0</v>
      </c>
    </row>
    <row r="82" ht="12" customHeight="1">
      <c r="A82" t="n">
        <v>81</v>
      </c>
      <c r="B82" t="inlineStr">
        <is>
          <t>M</t>
        </is>
      </c>
      <c r="C82">
        <f>IF(B82="F",1,0)</f>
        <v/>
      </c>
      <c r="D82" t="n">
        <v>96</v>
      </c>
      <c r="E82" t="n">
        <v>11</v>
      </c>
      <c r="F82" t="n">
        <v>79</v>
      </c>
      <c r="G82" s="1" t="n">
        <v>8217.27</v>
      </c>
      <c r="H82" s="1" t="n">
        <v>5462.63</v>
      </c>
      <c r="I82" t="n">
        <v>4</v>
      </c>
      <c r="J82" t="n">
        <v>0</v>
      </c>
    </row>
    <row r="83" ht="12" customHeight="1">
      <c r="A83" t="n">
        <v>82</v>
      </c>
      <c r="B83" t="inlineStr">
        <is>
          <t>F</t>
        </is>
      </c>
      <c r="C83">
        <f>IF(B83="F",1,0)</f>
        <v/>
      </c>
      <c r="D83" t="n">
        <v>83</v>
      </c>
      <c r="E83" t="n">
        <v>16</v>
      </c>
      <c r="F83" t="n">
        <v>127</v>
      </c>
      <c r="G83" s="1" t="n">
        <v>10655.8</v>
      </c>
      <c r="H83" s="1" t="n">
        <v>3277.48</v>
      </c>
      <c r="I83" t="n">
        <v>5</v>
      </c>
      <c r="J83" t="n">
        <v>0</v>
      </c>
    </row>
    <row r="84" ht="12" customHeight="1">
      <c r="A84" t="n">
        <v>83</v>
      </c>
      <c r="B84" t="inlineStr">
        <is>
          <t>F</t>
        </is>
      </c>
      <c r="C84">
        <f>IF(B84="F",1,0)</f>
        <v/>
      </c>
      <c r="D84" t="n">
        <v>77</v>
      </c>
      <c r="E84" t="n">
        <v>3</v>
      </c>
      <c r="F84" t="n">
        <v>182</v>
      </c>
      <c r="G84" s="1" t="n">
        <v>3620.78</v>
      </c>
      <c r="H84" s="1" t="n">
        <v>2064.43</v>
      </c>
      <c r="I84" t="n">
        <v>5</v>
      </c>
      <c r="J84" t="n">
        <v>5</v>
      </c>
    </row>
    <row r="85" ht="12" customHeight="1">
      <c r="A85" t="n">
        <v>84</v>
      </c>
      <c r="B85" t="inlineStr">
        <is>
          <t>M</t>
        </is>
      </c>
      <c r="C85">
        <f>IF(B85="F",1,0)</f>
        <v/>
      </c>
      <c r="D85" t="n">
        <v>86</v>
      </c>
      <c r="E85" t="n">
        <v>5</v>
      </c>
      <c r="F85" t="n">
        <v>346</v>
      </c>
      <c r="G85" s="1" t="n">
        <v>4734.98</v>
      </c>
      <c r="H85" s="1" t="n">
        <v>3731.44</v>
      </c>
      <c r="I85" t="n">
        <v>2</v>
      </c>
      <c r="J85" t="n">
        <v>0</v>
      </c>
    </row>
    <row r="86" ht="12" customHeight="1">
      <c r="A86" t="n">
        <v>85</v>
      </c>
      <c r="B86" t="inlineStr">
        <is>
          <t>F</t>
        </is>
      </c>
      <c r="C86">
        <f>IF(B86="F",1,0)</f>
        <v/>
      </c>
      <c r="D86" t="n">
        <v>80</v>
      </c>
      <c r="E86" t="n">
        <v>1</v>
      </c>
      <c r="F86" t="n">
        <v>140</v>
      </c>
      <c r="G86" s="1" t="n">
        <v>1820.41</v>
      </c>
      <c r="H86" s="1" t="n">
        <v>1564.5</v>
      </c>
      <c r="I86" t="n">
        <v>2</v>
      </c>
      <c r="J86" t="n">
        <v>0</v>
      </c>
    </row>
    <row r="87" ht="12" customHeight="1">
      <c r="A87" t="n">
        <v>86</v>
      </c>
      <c r="B87" t="inlineStr">
        <is>
          <t>F</t>
        </is>
      </c>
      <c r="C87">
        <f>IF(B87="F",1,0)</f>
        <v/>
      </c>
      <c r="D87" t="n">
        <v>61</v>
      </c>
      <c r="E87" t="n">
        <v>8</v>
      </c>
      <c r="F87" t="n">
        <v>296</v>
      </c>
      <c r="G87" s="1" t="n">
        <v>8954.809999999999</v>
      </c>
      <c r="H87" s="1" t="n">
        <v>3351.61</v>
      </c>
      <c r="I87" t="n">
        <v>4</v>
      </c>
      <c r="J87" t="n">
        <v>2</v>
      </c>
    </row>
    <row r="88" ht="12" customHeight="1">
      <c r="A88" t="n">
        <v>87</v>
      </c>
      <c r="B88" t="inlineStr">
        <is>
          <t>M</t>
        </is>
      </c>
      <c r="C88">
        <f>IF(B88="F",1,0)</f>
        <v/>
      </c>
      <c r="D88" t="n">
        <v>80</v>
      </c>
      <c r="E88" t="n">
        <v>5</v>
      </c>
      <c r="F88" t="n">
        <v>236</v>
      </c>
      <c r="G88" s="1" t="n">
        <v>4177.9</v>
      </c>
      <c r="H88" s="1" t="n">
        <v>2314.57</v>
      </c>
      <c r="I88" t="n">
        <v>6</v>
      </c>
      <c r="J88" t="n">
        <v>0</v>
      </c>
    </row>
    <row r="89" ht="12" customHeight="1">
      <c r="A89" t="n">
        <v>88</v>
      </c>
      <c r="B89" t="inlineStr">
        <is>
          <t>F</t>
        </is>
      </c>
      <c r="C89">
        <f>IF(B89="F",1,0)</f>
        <v/>
      </c>
      <c r="D89" t="n">
        <v>78</v>
      </c>
      <c r="E89" t="n">
        <v>2</v>
      </c>
      <c r="F89" t="n">
        <v>122</v>
      </c>
      <c r="G89" s="1" t="n">
        <v>5756.89</v>
      </c>
      <c r="H89" s="1" t="n">
        <v>2156.63</v>
      </c>
      <c r="I89" t="n">
        <v>3</v>
      </c>
      <c r="J89" t="n">
        <v>4</v>
      </c>
    </row>
    <row r="90" ht="12" customHeight="1">
      <c r="A90" t="n">
        <v>89</v>
      </c>
      <c r="B90" t="inlineStr">
        <is>
          <t>F</t>
        </is>
      </c>
      <c r="C90">
        <f>IF(B90="F",1,0)</f>
        <v/>
      </c>
      <c r="D90" t="n">
        <v>71</v>
      </c>
      <c r="E90" t="n">
        <v>10</v>
      </c>
      <c r="F90" t="n">
        <v>90</v>
      </c>
      <c r="G90" s="1" t="n">
        <v>12919.48</v>
      </c>
      <c r="H90" s="1" t="n">
        <v>2711.94</v>
      </c>
      <c r="I90" t="n">
        <v>3</v>
      </c>
      <c r="J90" t="n">
        <v>0</v>
      </c>
    </row>
    <row r="91" ht="12" customHeight="1">
      <c r="A91" t="n">
        <v>90</v>
      </c>
      <c r="B91" t="inlineStr">
        <is>
          <t>M</t>
        </is>
      </c>
      <c r="C91">
        <f>IF(B91="F",1,0)</f>
        <v/>
      </c>
      <c r="D91" t="n">
        <v>90</v>
      </c>
      <c r="E91" t="n">
        <v>9</v>
      </c>
      <c r="F91" t="n">
        <v>89</v>
      </c>
      <c r="G91" s="1" t="n">
        <v>7022.47</v>
      </c>
      <c r="H91" s="1" t="n">
        <v>2589.84</v>
      </c>
      <c r="I91" t="n">
        <v>2</v>
      </c>
      <c r="J91" t="n">
        <v>0</v>
      </c>
    </row>
    <row r="92" ht="12" customHeight="1">
      <c r="A92" t="n">
        <v>91</v>
      </c>
      <c r="B92" t="inlineStr">
        <is>
          <t>F</t>
        </is>
      </c>
      <c r="C92">
        <f>IF(B92="F",1,0)</f>
        <v/>
      </c>
      <c r="D92" t="n">
        <v>91</v>
      </c>
      <c r="E92" t="n">
        <v>7</v>
      </c>
      <c r="F92" t="n">
        <v>296</v>
      </c>
      <c r="G92" s="1" t="n">
        <v>6823.6</v>
      </c>
      <c r="H92" s="1" t="n">
        <v>3516.57</v>
      </c>
      <c r="I92" t="n">
        <v>6</v>
      </c>
      <c r="J92" t="n">
        <v>4</v>
      </c>
    </row>
    <row r="93" ht="12" customHeight="1">
      <c r="A93" t="n">
        <v>92</v>
      </c>
      <c r="B93" t="inlineStr">
        <is>
          <t>F</t>
        </is>
      </c>
      <c r="C93">
        <f>IF(B93="F",1,0)</f>
        <v/>
      </c>
      <c r="D93" t="n">
        <v>69</v>
      </c>
      <c r="E93" t="n">
        <v>4</v>
      </c>
      <c r="F93" t="n">
        <v>248</v>
      </c>
      <c r="G93" s="1" t="n">
        <v>2384.47</v>
      </c>
      <c r="H93" s="1" t="n">
        <v>2084.09</v>
      </c>
      <c r="I93" t="n">
        <v>5</v>
      </c>
      <c r="J93" t="n">
        <v>0</v>
      </c>
    </row>
    <row r="94" ht="12" customHeight="1">
      <c r="A94" t="n">
        <v>93</v>
      </c>
      <c r="B94" t="inlineStr">
        <is>
          <t>M</t>
        </is>
      </c>
      <c r="C94">
        <f>IF(B94="F",1,0)</f>
        <v/>
      </c>
      <c r="D94" t="n">
        <v>88</v>
      </c>
      <c r="E94" t="n">
        <v>5</v>
      </c>
      <c r="F94" t="n">
        <v>278</v>
      </c>
      <c r="G94" s="1" t="n">
        <v>3169.19</v>
      </c>
      <c r="H94" s="1" t="n">
        <v>2131.82</v>
      </c>
      <c r="I94" t="n">
        <v>4</v>
      </c>
      <c r="J94" t="n">
        <v>0</v>
      </c>
    </row>
    <row r="95" ht="12" customHeight="1">
      <c r="A95" t="n">
        <v>94</v>
      </c>
      <c r="B95" t="inlineStr">
        <is>
          <t>F</t>
        </is>
      </c>
      <c r="C95">
        <f>IF(B95="F",1,0)</f>
        <v/>
      </c>
      <c r="D95" t="n">
        <v>76</v>
      </c>
      <c r="E95" t="n">
        <v>2</v>
      </c>
      <c r="F95" t="n">
        <v>143</v>
      </c>
      <c r="G95" s="1" t="n">
        <v>2721.63</v>
      </c>
      <c r="H95" s="1" t="n">
        <v>1150.43</v>
      </c>
      <c r="I95" t="n">
        <v>6</v>
      </c>
      <c r="J95" t="n">
        <v>7</v>
      </c>
    </row>
    <row r="96" ht="12" customHeight="1">
      <c r="A96" t="n">
        <v>95</v>
      </c>
      <c r="B96" t="inlineStr">
        <is>
          <t>F</t>
        </is>
      </c>
      <c r="C96">
        <f>IF(B96="F",1,0)</f>
        <v/>
      </c>
      <c r="D96" t="n">
        <v>83</v>
      </c>
      <c r="E96" t="n">
        <v>5</v>
      </c>
      <c r="F96" t="n">
        <v>321</v>
      </c>
      <c r="G96" s="1" t="n">
        <v>3034.14</v>
      </c>
      <c r="H96" s="1" t="n">
        <v>1630.16</v>
      </c>
      <c r="I96" t="n">
        <v>7</v>
      </c>
      <c r="J96" t="n">
        <v>0</v>
      </c>
    </row>
    <row r="97" ht="12" customHeight="1">
      <c r="A97" t="n">
        <v>96</v>
      </c>
      <c r="B97" t="inlineStr">
        <is>
          <t>F</t>
        </is>
      </c>
      <c r="C97">
        <f>IF(B97="F",1,0)</f>
        <v/>
      </c>
      <c r="D97" t="n">
        <v>75</v>
      </c>
      <c r="E97" t="n">
        <v>3</v>
      </c>
      <c r="F97" t="n">
        <v>127</v>
      </c>
      <c r="G97" s="1" t="n">
        <v>5041.93</v>
      </c>
      <c r="H97" s="1" t="n">
        <v>3645.46</v>
      </c>
      <c r="I97" t="n">
        <v>1</v>
      </c>
      <c r="J97" t="n">
        <v>4</v>
      </c>
    </row>
    <row r="98" ht="12" customHeight="1">
      <c r="A98" t="n">
        <v>97</v>
      </c>
      <c r="B98" t="inlineStr">
        <is>
          <t>M</t>
        </is>
      </c>
      <c r="C98">
        <f>IF(B98="F",1,0)</f>
        <v/>
      </c>
      <c r="D98" t="n">
        <v>83</v>
      </c>
      <c r="E98" t="n">
        <v>7</v>
      </c>
      <c r="F98" t="n">
        <v>140</v>
      </c>
      <c r="G98" s="1" t="n">
        <v>8118.92</v>
      </c>
      <c r="H98" s="1" t="n">
        <v>1730.79</v>
      </c>
      <c r="I98" t="n">
        <v>5</v>
      </c>
      <c r="J98" t="n">
        <v>0</v>
      </c>
    </row>
    <row r="99" ht="12" customHeight="1">
      <c r="A99" t="n">
        <v>98</v>
      </c>
      <c r="B99" t="inlineStr">
        <is>
          <t>M</t>
        </is>
      </c>
      <c r="C99">
        <f>IF(B99="F",1,0)</f>
        <v/>
      </c>
      <c r="D99" t="n">
        <v>68</v>
      </c>
      <c r="E99" t="n">
        <v>9</v>
      </c>
      <c r="F99" t="n">
        <v>79</v>
      </c>
      <c r="G99" s="1" t="n">
        <v>10955.29</v>
      </c>
      <c r="H99" s="1" t="n">
        <v>5662.61</v>
      </c>
      <c r="I99" t="n">
        <v>8</v>
      </c>
      <c r="J99" t="n">
        <v>4</v>
      </c>
    </row>
    <row r="100" ht="12" customHeight="1">
      <c r="A100" t="n">
        <v>99</v>
      </c>
      <c r="B100" t="inlineStr">
        <is>
          <t>M</t>
        </is>
      </c>
      <c r="C100">
        <f>IF(B100="F",1,0)</f>
        <v/>
      </c>
      <c r="D100" t="n">
        <v>75</v>
      </c>
      <c r="E100" t="n">
        <v>7</v>
      </c>
      <c r="F100" t="n">
        <v>101</v>
      </c>
      <c r="G100" s="1" t="n">
        <v>5363.25</v>
      </c>
      <c r="H100" s="1" t="n">
        <v>3409.08</v>
      </c>
      <c r="I100" t="n">
        <v>5</v>
      </c>
      <c r="J100" t="n">
        <v>5</v>
      </c>
    </row>
    <row r="101" ht="12" customHeight="1">
      <c r="A101" t="n">
        <v>100</v>
      </c>
      <c r="B101" t="inlineStr">
        <is>
          <t>M</t>
        </is>
      </c>
      <c r="C101">
        <f>IF(B101="F",1,0)</f>
        <v/>
      </c>
      <c r="D101" t="n">
        <v>60</v>
      </c>
      <c r="E101" t="n">
        <v>5</v>
      </c>
      <c r="F101" t="n">
        <v>14</v>
      </c>
      <c r="G101" s="1" t="n">
        <v>6572.6</v>
      </c>
      <c r="H101" s="1" t="n">
        <v>3892.79</v>
      </c>
      <c r="I101" t="n">
        <v>6</v>
      </c>
      <c r="J101" t="n">
        <v>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2.5"/>
  <cols>
    <col width="42" customWidth="1" min="1" max="1"/>
    <col width="14" customWidth="1" min="2" max="2"/>
    <col width="16" customWidth="1" min="3" max="3"/>
    <col width="20" customWidth="1" min="4" max="4"/>
    <col width="16" customWidth="1" min="5" max="5"/>
    <col width="14" customWidth="1" min="6" max="6"/>
    <col width="18" customWidth="1" min="7" max="7"/>
  </cols>
  <sheetData>
    <row r="1" ht="17.25" customHeight="1">
      <c r="A1" s="4" t="inlineStr">
        <is>
          <t>Section 6.1: Descriptive Statistics for Age, LOS, and Charges</t>
        </is>
      </c>
    </row>
    <row r="2" ht="15" customHeight="1">
      <c r="A2" s="5" t="inlineStr">
        <is>
          <t>Data source: Hospital charges worksheet, n = 100 patients</t>
        </is>
      </c>
    </row>
    <row r="4" ht="27.75" customHeight="1">
      <c r="A4" s="6" t="inlineStr">
        <is>
          <t>ID</t>
        </is>
      </c>
      <c r="B4" s="6" t="inlineStr">
        <is>
          <t>Age</t>
        </is>
      </c>
      <c r="C4" s="6" t="inlineStr">
        <is>
          <t>(Age - Mean)^2</t>
        </is>
      </c>
      <c r="D4" s="6" t="inlineStr">
        <is>
          <t>LOS</t>
        </is>
      </c>
      <c r="E4" s="6" t="inlineStr">
        <is>
          <t>(LOS - Mean)^2</t>
        </is>
      </c>
      <c r="F4" s="6" t="inlineStr">
        <is>
          <t>Charges</t>
        </is>
      </c>
      <c r="G4" s="6" t="inlineStr">
        <is>
          <t>(Charges - Mean)^2</t>
        </is>
      </c>
    </row>
    <row r="5" ht="15" customHeight="1">
      <c r="A5" s="7">
        <f>'Hospital charges'!A2</f>
        <v/>
      </c>
      <c r="B5" s="8">
        <f>'Hospital charges'!D2</f>
        <v/>
      </c>
      <c r="C5" s="9">
        <f>(B5-$B$108)^2</f>
        <v/>
      </c>
      <c r="D5" s="8">
        <f>'Hospital charges'!E2</f>
        <v/>
      </c>
      <c r="E5" s="9">
        <f>(D5-$C$108)^2</f>
        <v/>
      </c>
      <c r="F5" s="10">
        <f>'Hospital charges'!G2</f>
        <v/>
      </c>
      <c r="G5" s="10">
        <f>(F5-$D$108)^2</f>
        <v/>
      </c>
    </row>
    <row r="6" ht="15" customHeight="1">
      <c r="A6" s="7">
        <f>'Hospital charges'!A3</f>
        <v/>
      </c>
      <c r="B6" s="8">
        <f>'Hospital charges'!D3</f>
        <v/>
      </c>
      <c r="C6" s="9">
        <f>(B6-$B$108)^2</f>
        <v/>
      </c>
      <c r="D6" s="8">
        <f>'Hospital charges'!E3</f>
        <v/>
      </c>
      <c r="E6" s="9">
        <f>(D6-$C$108)^2</f>
        <v/>
      </c>
      <c r="F6" s="10">
        <f>'Hospital charges'!G3</f>
        <v/>
      </c>
      <c r="G6" s="10">
        <f>(F6-$D$108)^2</f>
        <v/>
      </c>
    </row>
    <row r="7" ht="15" customHeight="1">
      <c r="A7" s="7">
        <f>'Hospital charges'!A4</f>
        <v/>
      </c>
      <c r="B7" s="8">
        <f>'Hospital charges'!D4</f>
        <v/>
      </c>
      <c r="C7" s="9">
        <f>(B7-$B$108)^2</f>
        <v/>
      </c>
      <c r="D7" s="8">
        <f>'Hospital charges'!E4</f>
        <v/>
      </c>
      <c r="E7" s="9">
        <f>(D7-$C$108)^2</f>
        <v/>
      </c>
      <c r="F7" s="10">
        <f>'Hospital charges'!G4</f>
        <v/>
      </c>
      <c r="G7" s="10">
        <f>(F7-$D$108)^2</f>
        <v/>
      </c>
    </row>
    <row r="8" ht="15" customHeight="1">
      <c r="A8" s="7">
        <f>'Hospital charges'!A5</f>
        <v/>
      </c>
      <c r="B8" s="8">
        <f>'Hospital charges'!D5</f>
        <v/>
      </c>
      <c r="C8" s="9">
        <f>(B8-$B$108)^2</f>
        <v/>
      </c>
      <c r="D8" s="8">
        <f>'Hospital charges'!E5</f>
        <v/>
      </c>
      <c r="E8" s="9">
        <f>(D8-$C$108)^2</f>
        <v/>
      </c>
      <c r="F8" s="10">
        <f>'Hospital charges'!G5</f>
        <v/>
      </c>
      <c r="G8" s="10">
        <f>(F8-$D$108)^2</f>
        <v/>
      </c>
    </row>
    <row r="9" ht="15" customHeight="1">
      <c r="A9" s="7">
        <f>'Hospital charges'!A6</f>
        <v/>
      </c>
      <c r="B9" s="8">
        <f>'Hospital charges'!D6</f>
        <v/>
      </c>
      <c r="C9" s="9">
        <f>(B9-$B$108)^2</f>
        <v/>
      </c>
      <c r="D9" s="8">
        <f>'Hospital charges'!E6</f>
        <v/>
      </c>
      <c r="E9" s="9">
        <f>(D9-$C$108)^2</f>
        <v/>
      </c>
      <c r="F9" s="10">
        <f>'Hospital charges'!G6</f>
        <v/>
      </c>
      <c r="G9" s="10">
        <f>(F9-$D$108)^2</f>
        <v/>
      </c>
    </row>
    <row r="10" ht="15" customHeight="1">
      <c r="A10" s="7">
        <f>'Hospital charges'!A7</f>
        <v/>
      </c>
      <c r="B10" s="8">
        <f>'Hospital charges'!D7</f>
        <v/>
      </c>
      <c r="C10" s="9">
        <f>(B10-$B$108)^2</f>
        <v/>
      </c>
      <c r="D10" s="8">
        <f>'Hospital charges'!E7</f>
        <v/>
      </c>
      <c r="E10" s="9">
        <f>(D10-$C$108)^2</f>
        <v/>
      </c>
      <c r="F10" s="10">
        <f>'Hospital charges'!G7</f>
        <v/>
      </c>
      <c r="G10" s="10">
        <f>(F10-$D$108)^2</f>
        <v/>
      </c>
    </row>
    <row r="11" ht="15" customHeight="1">
      <c r="A11" s="7">
        <f>'Hospital charges'!A8</f>
        <v/>
      </c>
      <c r="B11" s="8">
        <f>'Hospital charges'!D8</f>
        <v/>
      </c>
      <c r="C11" s="9">
        <f>(B11-$B$108)^2</f>
        <v/>
      </c>
      <c r="D11" s="8">
        <f>'Hospital charges'!E8</f>
        <v/>
      </c>
      <c r="E11" s="9">
        <f>(D11-$C$108)^2</f>
        <v/>
      </c>
      <c r="F11" s="10">
        <f>'Hospital charges'!G8</f>
        <v/>
      </c>
      <c r="G11" s="10">
        <f>(F11-$D$108)^2</f>
        <v/>
      </c>
    </row>
    <row r="12" ht="15" customHeight="1">
      <c r="A12" s="7">
        <f>'Hospital charges'!A9</f>
        <v/>
      </c>
      <c r="B12" s="8">
        <f>'Hospital charges'!D9</f>
        <v/>
      </c>
      <c r="C12" s="9">
        <f>(B12-$B$108)^2</f>
        <v/>
      </c>
      <c r="D12" s="8">
        <f>'Hospital charges'!E9</f>
        <v/>
      </c>
      <c r="E12" s="9">
        <f>(D12-$C$108)^2</f>
        <v/>
      </c>
      <c r="F12" s="10">
        <f>'Hospital charges'!G9</f>
        <v/>
      </c>
      <c r="G12" s="10">
        <f>(F12-$D$108)^2</f>
        <v/>
      </c>
    </row>
    <row r="13" ht="15" customHeight="1">
      <c r="A13" s="7">
        <f>'Hospital charges'!A10</f>
        <v/>
      </c>
      <c r="B13" s="8">
        <f>'Hospital charges'!D10</f>
        <v/>
      </c>
      <c r="C13" s="9">
        <f>(B13-$B$108)^2</f>
        <v/>
      </c>
      <c r="D13" s="8">
        <f>'Hospital charges'!E10</f>
        <v/>
      </c>
      <c r="E13" s="9">
        <f>(D13-$C$108)^2</f>
        <v/>
      </c>
      <c r="F13" s="10">
        <f>'Hospital charges'!G10</f>
        <v/>
      </c>
      <c r="G13" s="10">
        <f>(F13-$D$108)^2</f>
        <v/>
      </c>
    </row>
    <row r="14" ht="15" customHeight="1">
      <c r="A14" s="7">
        <f>'Hospital charges'!A11</f>
        <v/>
      </c>
      <c r="B14" s="8">
        <f>'Hospital charges'!D11</f>
        <v/>
      </c>
      <c r="C14" s="9">
        <f>(B14-$B$108)^2</f>
        <v/>
      </c>
      <c r="D14" s="8">
        <f>'Hospital charges'!E11</f>
        <v/>
      </c>
      <c r="E14" s="9">
        <f>(D14-$C$108)^2</f>
        <v/>
      </c>
      <c r="F14" s="10">
        <f>'Hospital charges'!G11</f>
        <v/>
      </c>
      <c r="G14" s="10">
        <f>(F14-$D$108)^2</f>
        <v/>
      </c>
    </row>
    <row r="15" ht="15" customHeight="1">
      <c r="A15" s="7">
        <f>'Hospital charges'!A12</f>
        <v/>
      </c>
      <c r="B15" s="8">
        <f>'Hospital charges'!D12</f>
        <v/>
      </c>
      <c r="C15" s="9">
        <f>(B15-$B$108)^2</f>
        <v/>
      </c>
      <c r="D15" s="8">
        <f>'Hospital charges'!E12</f>
        <v/>
      </c>
      <c r="E15" s="9">
        <f>(D15-$C$108)^2</f>
        <v/>
      </c>
      <c r="F15" s="10">
        <f>'Hospital charges'!G12</f>
        <v/>
      </c>
      <c r="G15" s="10">
        <f>(F15-$D$108)^2</f>
        <v/>
      </c>
    </row>
    <row r="16" ht="15" customHeight="1">
      <c r="A16" s="7">
        <f>'Hospital charges'!A13</f>
        <v/>
      </c>
      <c r="B16" s="8">
        <f>'Hospital charges'!D13</f>
        <v/>
      </c>
      <c r="C16" s="9">
        <f>(B16-$B$108)^2</f>
        <v/>
      </c>
      <c r="D16" s="8">
        <f>'Hospital charges'!E13</f>
        <v/>
      </c>
      <c r="E16" s="9">
        <f>(D16-$C$108)^2</f>
        <v/>
      </c>
      <c r="F16" s="10">
        <f>'Hospital charges'!G13</f>
        <v/>
      </c>
      <c r="G16" s="10">
        <f>(F16-$D$108)^2</f>
        <v/>
      </c>
    </row>
    <row r="17" ht="15" customHeight="1">
      <c r="A17" s="7">
        <f>'Hospital charges'!A14</f>
        <v/>
      </c>
      <c r="B17" s="8">
        <f>'Hospital charges'!D14</f>
        <v/>
      </c>
      <c r="C17" s="9">
        <f>(B17-$B$108)^2</f>
        <v/>
      </c>
      <c r="D17" s="8">
        <f>'Hospital charges'!E14</f>
        <v/>
      </c>
      <c r="E17" s="9">
        <f>(D17-$C$108)^2</f>
        <v/>
      </c>
      <c r="F17" s="10">
        <f>'Hospital charges'!G14</f>
        <v/>
      </c>
      <c r="G17" s="10">
        <f>(F17-$D$108)^2</f>
        <v/>
      </c>
    </row>
    <row r="18" ht="15" customHeight="1">
      <c r="A18" s="7">
        <f>'Hospital charges'!A15</f>
        <v/>
      </c>
      <c r="B18" s="8">
        <f>'Hospital charges'!D15</f>
        <v/>
      </c>
      <c r="C18" s="9">
        <f>(B18-$B$108)^2</f>
        <v/>
      </c>
      <c r="D18" s="8">
        <f>'Hospital charges'!E15</f>
        <v/>
      </c>
      <c r="E18" s="9">
        <f>(D18-$C$108)^2</f>
        <v/>
      </c>
      <c r="F18" s="10">
        <f>'Hospital charges'!G15</f>
        <v/>
      </c>
      <c r="G18" s="10">
        <f>(F18-$D$108)^2</f>
        <v/>
      </c>
    </row>
    <row r="19" ht="15" customHeight="1">
      <c r="A19" s="7">
        <f>'Hospital charges'!A16</f>
        <v/>
      </c>
      <c r="B19" s="8">
        <f>'Hospital charges'!D16</f>
        <v/>
      </c>
      <c r="C19" s="9">
        <f>(B19-$B$108)^2</f>
        <v/>
      </c>
      <c r="D19" s="8">
        <f>'Hospital charges'!E16</f>
        <v/>
      </c>
      <c r="E19" s="9">
        <f>(D19-$C$108)^2</f>
        <v/>
      </c>
      <c r="F19" s="10">
        <f>'Hospital charges'!G16</f>
        <v/>
      </c>
      <c r="G19" s="10">
        <f>(F19-$D$108)^2</f>
        <v/>
      </c>
    </row>
    <row r="20" ht="15" customHeight="1">
      <c r="A20" s="7">
        <f>'Hospital charges'!A17</f>
        <v/>
      </c>
      <c r="B20" s="8">
        <f>'Hospital charges'!D17</f>
        <v/>
      </c>
      <c r="C20" s="9">
        <f>(B20-$B$108)^2</f>
        <v/>
      </c>
      <c r="D20" s="8">
        <f>'Hospital charges'!E17</f>
        <v/>
      </c>
      <c r="E20" s="9">
        <f>(D20-$C$108)^2</f>
        <v/>
      </c>
      <c r="F20" s="10">
        <f>'Hospital charges'!G17</f>
        <v/>
      </c>
      <c r="G20" s="10">
        <f>(F20-$D$108)^2</f>
        <v/>
      </c>
    </row>
    <row r="21" ht="15" customHeight="1">
      <c r="A21" s="7">
        <f>'Hospital charges'!A18</f>
        <v/>
      </c>
      <c r="B21" s="8">
        <f>'Hospital charges'!D18</f>
        <v/>
      </c>
      <c r="C21" s="9">
        <f>(B21-$B$108)^2</f>
        <v/>
      </c>
      <c r="D21" s="8">
        <f>'Hospital charges'!E18</f>
        <v/>
      </c>
      <c r="E21" s="9">
        <f>(D21-$C$108)^2</f>
        <v/>
      </c>
      <c r="F21" s="10">
        <f>'Hospital charges'!G18</f>
        <v/>
      </c>
      <c r="G21" s="10">
        <f>(F21-$D$108)^2</f>
        <v/>
      </c>
    </row>
    <row r="22" ht="15" customHeight="1">
      <c r="A22" s="7">
        <f>'Hospital charges'!A19</f>
        <v/>
      </c>
      <c r="B22" s="8">
        <f>'Hospital charges'!D19</f>
        <v/>
      </c>
      <c r="C22" s="9">
        <f>(B22-$B$108)^2</f>
        <v/>
      </c>
      <c r="D22" s="8">
        <f>'Hospital charges'!E19</f>
        <v/>
      </c>
      <c r="E22" s="9">
        <f>(D22-$C$108)^2</f>
        <v/>
      </c>
      <c r="F22" s="10">
        <f>'Hospital charges'!G19</f>
        <v/>
      </c>
      <c r="G22" s="10">
        <f>(F22-$D$108)^2</f>
        <v/>
      </c>
    </row>
    <row r="23" ht="15" customHeight="1">
      <c r="A23" s="7">
        <f>'Hospital charges'!A20</f>
        <v/>
      </c>
      <c r="B23" s="8">
        <f>'Hospital charges'!D20</f>
        <v/>
      </c>
      <c r="C23" s="9">
        <f>(B23-$B$108)^2</f>
        <v/>
      </c>
      <c r="D23" s="8">
        <f>'Hospital charges'!E20</f>
        <v/>
      </c>
      <c r="E23" s="9">
        <f>(D23-$C$108)^2</f>
        <v/>
      </c>
      <c r="F23" s="10">
        <f>'Hospital charges'!G20</f>
        <v/>
      </c>
      <c r="G23" s="10">
        <f>(F23-$D$108)^2</f>
        <v/>
      </c>
    </row>
    <row r="24" ht="15" customHeight="1">
      <c r="A24" s="7">
        <f>'Hospital charges'!A21</f>
        <v/>
      </c>
      <c r="B24" s="8">
        <f>'Hospital charges'!D21</f>
        <v/>
      </c>
      <c r="C24" s="9">
        <f>(B24-$B$108)^2</f>
        <v/>
      </c>
      <c r="D24" s="8">
        <f>'Hospital charges'!E21</f>
        <v/>
      </c>
      <c r="E24" s="9">
        <f>(D24-$C$108)^2</f>
        <v/>
      </c>
      <c r="F24" s="10">
        <f>'Hospital charges'!G21</f>
        <v/>
      </c>
      <c r="G24" s="10">
        <f>(F24-$D$108)^2</f>
        <v/>
      </c>
    </row>
    <row r="25" ht="15" customHeight="1">
      <c r="A25" s="7">
        <f>'Hospital charges'!A22</f>
        <v/>
      </c>
      <c r="B25" s="8">
        <f>'Hospital charges'!D22</f>
        <v/>
      </c>
      <c r="C25" s="9">
        <f>(B25-$B$108)^2</f>
        <v/>
      </c>
      <c r="D25" s="8">
        <f>'Hospital charges'!E22</f>
        <v/>
      </c>
      <c r="E25" s="9">
        <f>(D25-$C$108)^2</f>
        <v/>
      </c>
      <c r="F25" s="10">
        <f>'Hospital charges'!G22</f>
        <v/>
      </c>
      <c r="G25" s="10">
        <f>(F25-$D$108)^2</f>
        <v/>
      </c>
    </row>
    <row r="26" ht="15" customHeight="1">
      <c r="A26" s="7">
        <f>'Hospital charges'!A23</f>
        <v/>
      </c>
      <c r="B26" s="8">
        <f>'Hospital charges'!D23</f>
        <v/>
      </c>
      <c r="C26" s="9">
        <f>(B26-$B$108)^2</f>
        <v/>
      </c>
      <c r="D26" s="8">
        <f>'Hospital charges'!E23</f>
        <v/>
      </c>
      <c r="E26" s="9">
        <f>(D26-$C$108)^2</f>
        <v/>
      </c>
      <c r="F26" s="10">
        <f>'Hospital charges'!G23</f>
        <v/>
      </c>
      <c r="G26" s="10">
        <f>(F26-$D$108)^2</f>
        <v/>
      </c>
    </row>
    <row r="27" ht="15" customHeight="1">
      <c r="A27" s="7">
        <f>'Hospital charges'!A24</f>
        <v/>
      </c>
      <c r="B27" s="8">
        <f>'Hospital charges'!D24</f>
        <v/>
      </c>
      <c r="C27" s="9">
        <f>(B27-$B$108)^2</f>
        <v/>
      </c>
      <c r="D27" s="8">
        <f>'Hospital charges'!E24</f>
        <v/>
      </c>
      <c r="E27" s="9">
        <f>(D27-$C$108)^2</f>
        <v/>
      </c>
      <c r="F27" s="10">
        <f>'Hospital charges'!G24</f>
        <v/>
      </c>
      <c r="G27" s="10">
        <f>(F27-$D$108)^2</f>
        <v/>
      </c>
    </row>
    <row r="28" ht="15" customHeight="1">
      <c r="A28" s="7">
        <f>'Hospital charges'!A25</f>
        <v/>
      </c>
      <c r="B28" s="8">
        <f>'Hospital charges'!D25</f>
        <v/>
      </c>
      <c r="C28" s="9">
        <f>(B28-$B$108)^2</f>
        <v/>
      </c>
      <c r="D28" s="8">
        <f>'Hospital charges'!E25</f>
        <v/>
      </c>
      <c r="E28" s="9">
        <f>(D28-$C$108)^2</f>
        <v/>
      </c>
      <c r="F28" s="10">
        <f>'Hospital charges'!G25</f>
        <v/>
      </c>
      <c r="G28" s="10">
        <f>(F28-$D$108)^2</f>
        <v/>
      </c>
    </row>
    <row r="29" ht="15" customHeight="1">
      <c r="A29" s="7">
        <f>'Hospital charges'!A26</f>
        <v/>
      </c>
      <c r="B29" s="8">
        <f>'Hospital charges'!D26</f>
        <v/>
      </c>
      <c r="C29" s="9">
        <f>(B29-$B$108)^2</f>
        <v/>
      </c>
      <c r="D29" s="8">
        <f>'Hospital charges'!E26</f>
        <v/>
      </c>
      <c r="E29" s="9">
        <f>(D29-$C$108)^2</f>
        <v/>
      </c>
      <c r="F29" s="10">
        <f>'Hospital charges'!G26</f>
        <v/>
      </c>
      <c r="G29" s="10">
        <f>(F29-$D$108)^2</f>
        <v/>
      </c>
    </row>
    <row r="30" ht="15" customHeight="1">
      <c r="A30" s="7">
        <f>'Hospital charges'!A27</f>
        <v/>
      </c>
      <c r="B30" s="8">
        <f>'Hospital charges'!D27</f>
        <v/>
      </c>
      <c r="C30" s="9">
        <f>(B30-$B$108)^2</f>
        <v/>
      </c>
      <c r="D30" s="8">
        <f>'Hospital charges'!E27</f>
        <v/>
      </c>
      <c r="E30" s="9">
        <f>(D30-$C$108)^2</f>
        <v/>
      </c>
      <c r="F30" s="10">
        <f>'Hospital charges'!G27</f>
        <v/>
      </c>
      <c r="G30" s="10">
        <f>(F30-$D$108)^2</f>
        <v/>
      </c>
    </row>
    <row r="31" ht="15" customHeight="1">
      <c r="A31" s="7">
        <f>'Hospital charges'!A28</f>
        <v/>
      </c>
      <c r="B31" s="8">
        <f>'Hospital charges'!D28</f>
        <v/>
      </c>
      <c r="C31" s="9">
        <f>(B31-$B$108)^2</f>
        <v/>
      </c>
      <c r="D31" s="8">
        <f>'Hospital charges'!E28</f>
        <v/>
      </c>
      <c r="E31" s="9">
        <f>(D31-$C$108)^2</f>
        <v/>
      </c>
      <c r="F31" s="10">
        <f>'Hospital charges'!G28</f>
        <v/>
      </c>
      <c r="G31" s="10">
        <f>(F31-$D$108)^2</f>
        <v/>
      </c>
    </row>
    <row r="32" ht="15" customHeight="1">
      <c r="A32" s="7">
        <f>'Hospital charges'!A29</f>
        <v/>
      </c>
      <c r="B32" s="8">
        <f>'Hospital charges'!D29</f>
        <v/>
      </c>
      <c r="C32" s="9">
        <f>(B32-$B$108)^2</f>
        <v/>
      </c>
      <c r="D32" s="8">
        <f>'Hospital charges'!E29</f>
        <v/>
      </c>
      <c r="E32" s="9">
        <f>(D32-$C$108)^2</f>
        <v/>
      </c>
      <c r="F32" s="10">
        <f>'Hospital charges'!G29</f>
        <v/>
      </c>
      <c r="G32" s="10">
        <f>(F32-$D$108)^2</f>
        <v/>
      </c>
    </row>
    <row r="33" ht="15" customHeight="1">
      <c r="A33" s="7">
        <f>'Hospital charges'!A30</f>
        <v/>
      </c>
      <c r="B33" s="8">
        <f>'Hospital charges'!D30</f>
        <v/>
      </c>
      <c r="C33" s="9">
        <f>(B33-$B$108)^2</f>
        <v/>
      </c>
      <c r="D33" s="8">
        <f>'Hospital charges'!E30</f>
        <v/>
      </c>
      <c r="E33" s="9">
        <f>(D33-$C$108)^2</f>
        <v/>
      </c>
      <c r="F33" s="10">
        <f>'Hospital charges'!G30</f>
        <v/>
      </c>
      <c r="G33" s="10">
        <f>(F33-$D$108)^2</f>
        <v/>
      </c>
    </row>
    <row r="34" ht="15" customHeight="1">
      <c r="A34" s="7">
        <f>'Hospital charges'!A31</f>
        <v/>
      </c>
      <c r="B34" s="8">
        <f>'Hospital charges'!D31</f>
        <v/>
      </c>
      <c r="C34" s="9">
        <f>(B34-$B$108)^2</f>
        <v/>
      </c>
      <c r="D34" s="8">
        <f>'Hospital charges'!E31</f>
        <v/>
      </c>
      <c r="E34" s="9">
        <f>(D34-$C$108)^2</f>
        <v/>
      </c>
      <c r="F34" s="10">
        <f>'Hospital charges'!G31</f>
        <v/>
      </c>
      <c r="G34" s="10">
        <f>(F34-$D$108)^2</f>
        <v/>
      </c>
    </row>
    <row r="35" ht="15" customHeight="1">
      <c r="A35" s="7">
        <f>'Hospital charges'!A32</f>
        <v/>
      </c>
      <c r="B35" s="8">
        <f>'Hospital charges'!D32</f>
        <v/>
      </c>
      <c r="C35" s="9">
        <f>(B35-$B$108)^2</f>
        <v/>
      </c>
      <c r="D35" s="8">
        <f>'Hospital charges'!E32</f>
        <v/>
      </c>
      <c r="E35" s="9">
        <f>(D35-$C$108)^2</f>
        <v/>
      </c>
      <c r="F35" s="10">
        <f>'Hospital charges'!G32</f>
        <v/>
      </c>
      <c r="G35" s="10">
        <f>(F35-$D$108)^2</f>
        <v/>
      </c>
    </row>
    <row r="36" ht="15" customHeight="1">
      <c r="A36" s="7">
        <f>'Hospital charges'!A33</f>
        <v/>
      </c>
      <c r="B36" s="8">
        <f>'Hospital charges'!D33</f>
        <v/>
      </c>
      <c r="C36" s="9">
        <f>(B36-$B$108)^2</f>
        <v/>
      </c>
      <c r="D36" s="8">
        <f>'Hospital charges'!E33</f>
        <v/>
      </c>
      <c r="E36" s="9">
        <f>(D36-$C$108)^2</f>
        <v/>
      </c>
      <c r="F36" s="10">
        <f>'Hospital charges'!G33</f>
        <v/>
      </c>
      <c r="G36" s="10">
        <f>(F36-$D$108)^2</f>
        <v/>
      </c>
    </row>
    <row r="37" ht="15" customHeight="1">
      <c r="A37" s="7">
        <f>'Hospital charges'!A34</f>
        <v/>
      </c>
      <c r="B37" s="8">
        <f>'Hospital charges'!D34</f>
        <v/>
      </c>
      <c r="C37" s="9">
        <f>(B37-$B$108)^2</f>
        <v/>
      </c>
      <c r="D37" s="8">
        <f>'Hospital charges'!E34</f>
        <v/>
      </c>
      <c r="E37" s="9">
        <f>(D37-$C$108)^2</f>
        <v/>
      </c>
      <c r="F37" s="10">
        <f>'Hospital charges'!G34</f>
        <v/>
      </c>
      <c r="G37" s="10">
        <f>(F37-$D$108)^2</f>
        <v/>
      </c>
    </row>
    <row r="38" ht="15" customHeight="1">
      <c r="A38" s="7">
        <f>'Hospital charges'!A35</f>
        <v/>
      </c>
      <c r="B38" s="8">
        <f>'Hospital charges'!D35</f>
        <v/>
      </c>
      <c r="C38" s="9">
        <f>(B38-$B$108)^2</f>
        <v/>
      </c>
      <c r="D38" s="8">
        <f>'Hospital charges'!E35</f>
        <v/>
      </c>
      <c r="E38" s="9">
        <f>(D38-$C$108)^2</f>
        <v/>
      </c>
      <c r="F38" s="10">
        <f>'Hospital charges'!G35</f>
        <v/>
      </c>
      <c r="G38" s="10">
        <f>(F38-$D$108)^2</f>
        <v/>
      </c>
    </row>
    <row r="39" ht="15" customHeight="1">
      <c r="A39" s="7">
        <f>'Hospital charges'!A36</f>
        <v/>
      </c>
      <c r="B39" s="8">
        <f>'Hospital charges'!D36</f>
        <v/>
      </c>
      <c r="C39" s="9">
        <f>(B39-$B$108)^2</f>
        <v/>
      </c>
      <c r="D39" s="8">
        <f>'Hospital charges'!E36</f>
        <v/>
      </c>
      <c r="E39" s="9">
        <f>(D39-$C$108)^2</f>
        <v/>
      </c>
      <c r="F39" s="10">
        <f>'Hospital charges'!G36</f>
        <v/>
      </c>
      <c r="G39" s="10">
        <f>(F39-$D$108)^2</f>
        <v/>
      </c>
    </row>
    <row r="40" ht="15" customHeight="1">
      <c r="A40" s="7">
        <f>'Hospital charges'!A37</f>
        <v/>
      </c>
      <c r="B40" s="8">
        <f>'Hospital charges'!D37</f>
        <v/>
      </c>
      <c r="C40" s="9">
        <f>(B40-$B$108)^2</f>
        <v/>
      </c>
      <c r="D40" s="8">
        <f>'Hospital charges'!E37</f>
        <v/>
      </c>
      <c r="E40" s="9">
        <f>(D40-$C$108)^2</f>
        <v/>
      </c>
      <c r="F40" s="10">
        <f>'Hospital charges'!G37</f>
        <v/>
      </c>
      <c r="G40" s="10">
        <f>(F40-$D$108)^2</f>
        <v/>
      </c>
    </row>
    <row r="41" ht="15" customHeight="1">
      <c r="A41" s="7">
        <f>'Hospital charges'!A38</f>
        <v/>
      </c>
      <c r="B41" s="8">
        <f>'Hospital charges'!D38</f>
        <v/>
      </c>
      <c r="C41" s="9">
        <f>(B41-$B$108)^2</f>
        <v/>
      </c>
      <c r="D41" s="8">
        <f>'Hospital charges'!E38</f>
        <v/>
      </c>
      <c r="E41" s="9">
        <f>(D41-$C$108)^2</f>
        <v/>
      </c>
      <c r="F41" s="10">
        <f>'Hospital charges'!G38</f>
        <v/>
      </c>
      <c r="G41" s="10">
        <f>(F41-$D$108)^2</f>
        <v/>
      </c>
    </row>
    <row r="42" ht="15" customHeight="1">
      <c r="A42" s="7">
        <f>'Hospital charges'!A39</f>
        <v/>
      </c>
      <c r="B42" s="8">
        <f>'Hospital charges'!D39</f>
        <v/>
      </c>
      <c r="C42" s="9">
        <f>(B42-$B$108)^2</f>
        <v/>
      </c>
      <c r="D42" s="8">
        <f>'Hospital charges'!E39</f>
        <v/>
      </c>
      <c r="E42" s="9">
        <f>(D42-$C$108)^2</f>
        <v/>
      </c>
      <c r="F42" s="10">
        <f>'Hospital charges'!G39</f>
        <v/>
      </c>
      <c r="G42" s="10">
        <f>(F42-$D$108)^2</f>
        <v/>
      </c>
    </row>
    <row r="43" ht="15" customHeight="1">
      <c r="A43" s="7">
        <f>'Hospital charges'!A40</f>
        <v/>
      </c>
      <c r="B43" s="8">
        <f>'Hospital charges'!D40</f>
        <v/>
      </c>
      <c r="C43" s="9">
        <f>(B43-$B$108)^2</f>
        <v/>
      </c>
      <c r="D43" s="8">
        <f>'Hospital charges'!E40</f>
        <v/>
      </c>
      <c r="E43" s="9">
        <f>(D43-$C$108)^2</f>
        <v/>
      </c>
      <c r="F43" s="10">
        <f>'Hospital charges'!G40</f>
        <v/>
      </c>
      <c r="G43" s="10">
        <f>(F43-$D$108)^2</f>
        <v/>
      </c>
    </row>
    <row r="44" ht="15" customHeight="1">
      <c r="A44" s="7">
        <f>'Hospital charges'!A41</f>
        <v/>
      </c>
      <c r="B44" s="8">
        <f>'Hospital charges'!D41</f>
        <v/>
      </c>
      <c r="C44" s="9">
        <f>(B44-$B$108)^2</f>
        <v/>
      </c>
      <c r="D44" s="8">
        <f>'Hospital charges'!E41</f>
        <v/>
      </c>
      <c r="E44" s="9">
        <f>(D44-$C$108)^2</f>
        <v/>
      </c>
      <c r="F44" s="10">
        <f>'Hospital charges'!G41</f>
        <v/>
      </c>
      <c r="G44" s="10">
        <f>(F44-$D$108)^2</f>
        <v/>
      </c>
    </row>
    <row r="45" ht="15" customHeight="1">
      <c r="A45" s="7">
        <f>'Hospital charges'!A42</f>
        <v/>
      </c>
      <c r="B45" s="8">
        <f>'Hospital charges'!D42</f>
        <v/>
      </c>
      <c r="C45" s="9">
        <f>(B45-$B$108)^2</f>
        <v/>
      </c>
      <c r="D45" s="8">
        <f>'Hospital charges'!E42</f>
        <v/>
      </c>
      <c r="E45" s="9">
        <f>(D45-$C$108)^2</f>
        <v/>
      </c>
      <c r="F45" s="10">
        <f>'Hospital charges'!G42</f>
        <v/>
      </c>
      <c r="G45" s="10">
        <f>(F45-$D$108)^2</f>
        <v/>
      </c>
    </row>
    <row r="46" ht="15" customHeight="1">
      <c r="A46" s="7">
        <f>'Hospital charges'!A43</f>
        <v/>
      </c>
      <c r="B46" s="8">
        <f>'Hospital charges'!D43</f>
        <v/>
      </c>
      <c r="C46" s="9">
        <f>(B46-$B$108)^2</f>
        <v/>
      </c>
      <c r="D46" s="8">
        <f>'Hospital charges'!E43</f>
        <v/>
      </c>
      <c r="E46" s="9">
        <f>(D46-$C$108)^2</f>
        <v/>
      </c>
      <c r="F46" s="10">
        <f>'Hospital charges'!G43</f>
        <v/>
      </c>
      <c r="G46" s="10">
        <f>(F46-$D$108)^2</f>
        <v/>
      </c>
    </row>
    <row r="47" ht="15" customHeight="1">
      <c r="A47" s="7">
        <f>'Hospital charges'!A44</f>
        <v/>
      </c>
      <c r="B47" s="8">
        <f>'Hospital charges'!D44</f>
        <v/>
      </c>
      <c r="C47" s="9">
        <f>(B47-$B$108)^2</f>
        <v/>
      </c>
      <c r="D47" s="8">
        <f>'Hospital charges'!E44</f>
        <v/>
      </c>
      <c r="E47" s="9">
        <f>(D47-$C$108)^2</f>
        <v/>
      </c>
      <c r="F47" s="10">
        <f>'Hospital charges'!G44</f>
        <v/>
      </c>
      <c r="G47" s="10">
        <f>(F47-$D$108)^2</f>
        <v/>
      </c>
    </row>
    <row r="48" ht="15" customHeight="1">
      <c r="A48" s="7">
        <f>'Hospital charges'!A45</f>
        <v/>
      </c>
      <c r="B48" s="8">
        <f>'Hospital charges'!D45</f>
        <v/>
      </c>
      <c r="C48" s="9">
        <f>(B48-$B$108)^2</f>
        <v/>
      </c>
      <c r="D48" s="8">
        <f>'Hospital charges'!E45</f>
        <v/>
      </c>
      <c r="E48" s="9">
        <f>(D48-$C$108)^2</f>
        <v/>
      </c>
      <c r="F48" s="10">
        <f>'Hospital charges'!G45</f>
        <v/>
      </c>
      <c r="G48" s="10">
        <f>(F48-$D$108)^2</f>
        <v/>
      </c>
    </row>
    <row r="49" ht="15" customHeight="1">
      <c r="A49" s="7">
        <f>'Hospital charges'!A46</f>
        <v/>
      </c>
      <c r="B49" s="8">
        <f>'Hospital charges'!D46</f>
        <v/>
      </c>
      <c r="C49" s="9">
        <f>(B49-$B$108)^2</f>
        <v/>
      </c>
      <c r="D49" s="8">
        <f>'Hospital charges'!E46</f>
        <v/>
      </c>
      <c r="E49" s="9">
        <f>(D49-$C$108)^2</f>
        <v/>
      </c>
      <c r="F49" s="10">
        <f>'Hospital charges'!G46</f>
        <v/>
      </c>
      <c r="G49" s="10">
        <f>(F49-$D$108)^2</f>
        <v/>
      </c>
    </row>
    <row r="50" ht="15" customHeight="1">
      <c r="A50" s="7">
        <f>'Hospital charges'!A47</f>
        <v/>
      </c>
      <c r="B50" s="8">
        <f>'Hospital charges'!D47</f>
        <v/>
      </c>
      <c r="C50" s="9">
        <f>(B50-$B$108)^2</f>
        <v/>
      </c>
      <c r="D50" s="8">
        <f>'Hospital charges'!E47</f>
        <v/>
      </c>
      <c r="E50" s="9">
        <f>(D50-$C$108)^2</f>
        <v/>
      </c>
      <c r="F50" s="10">
        <f>'Hospital charges'!G47</f>
        <v/>
      </c>
      <c r="G50" s="10">
        <f>(F50-$D$108)^2</f>
        <v/>
      </c>
    </row>
    <row r="51" ht="15" customHeight="1">
      <c r="A51" s="7">
        <f>'Hospital charges'!A48</f>
        <v/>
      </c>
      <c r="B51" s="8">
        <f>'Hospital charges'!D48</f>
        <v/>
      </c>
      <c r="C51" s="9">
        <f>(B51-$B$108)^2</f>
        <v/>
      </c>
      <c r="D51" s="8">
        <f>'Hospital charges'!E48</f>
        <v/>
      </c>
      <c r="E51" s="9">
        <f>(D51-$C$108)^2</f>
        <v/>
      </c>
      <c r="F51" s="10">
        <f>'Hospital charges'!G48</f>
        <v/>
      </c>
      <c r="G51" s="10">
        <f>(F51-$D$108)^2</f>
        <v/>
      </c>
    </row>
    <row r="52" ht="15" customHeight="1">
      <c r="A52" s="7">
        <f>'Hospital charges'!A49</f>
        <v/>
      </c>
      <c r="B52" s="8">
        <f>'Hospital charges'!D49</f>
        <v/>
      </c>
      <c r="C52" s="9">
        <f>(B52-$B$108)^2</f>
        <v/>
      </c>
      <c r="D52" s="8">
        <f>'Hospital charges'!E49</f>
        <v/>
      </c>
      <c r="E52" s="9">
        <f>(D52-$C$108)^2</f>
        <v/>
      </c>
      <c r="F52" s="10">
        <f>'Hospital charges'!G49</f>
        <v/>
      </c>
      <c r="G52" s="10">
        <f>(F52-$D$108)^2</f>
        <v/>
      </c>
    </row>
    <row r="53" ht="15" customHeight="1">
      <c r="A53" s="7">
        <f>'Hospital charges'!A50</f>
        <v/>
      </c>
      <c r="B53" s="8">
        <f>'Hospital charges'!D50</f>
        <v/>
      </c>
      <c r="C53" s="9">
        <f>(B53-$B$108)^2</f>
        <v/>
      </c>
      <c r="D53" s="8">
        <f>'Hospital charges'!E50</f>
        <v/>
      </c>
      <c r="E53" s="9">
        <f>(D53-$C$108)^2</f>
        <v/>
      </c>
      <c r="F53" s="10">
        <f>'Hospital charges'!G50</f>
        <v/>
      </c>
      <c r="G53" s="10">
        <f>(F53-$D$108)^2</f>
        <v/>
      </c>
    </row>
    <row r="54" ht="15" customHeight="1">
      <c r="A54" s="7">
        <f>'Hospital charges'!A51</f>
        <v/>
      </c>
      <c r="B54" s="8">
        <f>'Hospital charges'!D51</f>
        <v/>
      </c>
      <c r="C54" s="9">
        <f>(B54-$B$108)^2</f>
        <v/>
      </c>
      <c r="D54" s="8">
        <f>'Hospital charges'!E51</f>
        <v/>
      </c>
      <c r="E54" s="9">
        <f>(D54-$C$108)^2</f>
        <v/>
      </c>
      <c r="F54" s="10">
        <f>'Hospital charges'!G51</f>
        <v/>
      </c>
      <c r="G54" s="10">
        <f>(F54-$D$108)^2</f>
        <v/>
      </c>
    </row>
    <row r="55" ht="15" customHeight="1">
      <c r="A55" s="7">
        <f>'Hospital charges'!A52</f>
        <v/>
      </c>
      <c r="B55" s="8">
        <f>'Hospital charges'!D52</f>
        <v/>
      </c>
      <c r="C55" s="9">
        <f>(B55-$B$108)^2</f>
        <v/>
      </c>
      <c r="D55" s="8">
        <f>'Hospital charges'!E52</f>
        <v/>
      </c>
      <c r="E55" s="9">
        <f>(D55-$C$108)^2</f>
        <v/>
      </c>
      <c r="F55" s="10">
        <f>'Hospital charges'!G52</f>
        <v/>
      </c>
      <c r="G55" s="10">
        <f>(F55-$D$108)^2</f>
        <v/>
      </c>
    </row>
    <row r="56" ht="15" customHeight="1">
      <c r="A56" s="7">
        <f>'Hospital charges'!A53</f>
        <v/>
      </c>
      <c r="B56" s="8">
        <f>'Hospital charges'!D53</f>
        <v/>
      </c>
      <c r="C56" s="9">
        <f>(B56-$B$108)^2</f>
        <v/>
      </c>
      <c r="D56" s="8">
        <f>'Hospital charges'!E53</f>
        <v/>
      </c>
      <c r="E56" s="9">
        <f>(D56-$C$108)^2</f>
        <v/>
      </c>
      <c r="F56" s="10">
        <f>'Hospital charges'!G53</f>
        <v/>
      </c>
      <c r="G56" s="10">
        <f>(F56-$D$108)^2</f>
        <v/>
      </c>
    </row>
    <row r="57" ht="15" customHeight="1">
      <c r="A57" s="7">
        <f>'Hospital charges'!A54</f>
        <v/>
      </c>
      <c r="B57" s="8">
        <f>'Hospital charges'!D54</f>
        <v/>
      </c>
      <c r="C57" s="9">
        <f>(B57-$B$108)^2</f>
        <v/>
      </c>
      <c r="D57" s="8">
        <f>'Hospital charges'!E54</f>
        <v/>
      </c>
      <c r="E57" s="9">
        <f>(D57-$C$108)^2</f>
        <v/>
      </c>
      <c r="F57" s="10">
        <f>'Hospital charges'!G54</f>
        <v/>
      </c>
      <c r="G57" s="10">
        <f>(F57-$D$108)^2</f>
        <v/>
      </c>
    </row>
    <row r="58" ht="15" customHeight="1">
      <c r="A58" s="7">
        <f>'Hospital charges'!A55</f>
        <v/>
      </c>
      <c r="B58" s="8">
        <f>'Hospital charges'!D55</f>
        <v/>
      </c>
      <c r="C58" s="9">
        <f>(B58-$B$108)^2</f>
        <v/>
      </c>
      <c r="D58" s="8">
        <f>'Hospital charges'!E55</f>
        <v/>
      </c>
      <c r="E58" s="9">
        <f>(D58-$C$108)^2</f>
        <v/>
      </c>
      <c r="F58" s="10">
        <f>'Hospital charges'!G55</f>
        <v/>
      </c>
      <c r="G58" s="10">
        <f>(F58-$D$108)^2</f>
        <v/>
      </c>
    </row>
    <row r="59" ht="15" customHeight="1">
      <c r="A59" s="7">
        <f>'Hospital charges'!A56</f>
        <v/>
      </c>
      <c r="B59" s="8">
        <f>'Hospital charges'!D56</f>
        <v/>
      </c>
      <c r="C59" s="9">
        <f>(B59-$B$108)^2</f>
        <v/>
      </c>
      <c r="D59" s="8">
        <f>'Hospital charges'!E56</f>
        <v/>
      </c>
      <c r="E59" s="9">
        <f>(D59-$C$108)^2</f>
        <v/>
      </c>
      <c r="F59" s="10">
        <f>'Hospital charges'!G56</f>
        <v/>
      </c>
      <c r="G59" s="10">
        <f>(F59-$D$108)^2</f>
        <v/>
      </c>
    </row>
    <row r="60" ht="15" customHeight="1">
      <c r="A60" s="7">
        <f>'Hospital charges'!A57</f>
        <v/>
      </c>
      <c r="B60" s="8">
        <f>'Hospital charges'!D57</f>
        <v/>
      </c>
      <c r="C60" s="9">
        <f>(B60-$B$108)^2</f>
        <v/>
      </c>
      <c r="D60" s="8">
        <f>'Hospital charges'!E57</f>
        <v/>
      </c>
      <c r="E60" s="9">
        <f>(D60-$C$108)^2</f>
        <v/>
      </c>
      <c r="F60" s="10">
        <f>'Hospital charges'!G57</f>
        <v/>
      </c>
      <c r="G60" s="10">
        <f>(F60-$D$108)^2</f>
        <v/>
      </c>
    </row>
    <row r="61" ht="15" customHeight="1">
      <c r="A61" s="7">
        <f>'Hospital charges'!A58</f>
        <v/>
      </c>
      <c r="B61" s="8">
        <f>'Hospital charges'!D58</f>
        <v/>
      </c>
      <c r="C61" s="9">
        <f>(B61-$B$108)^2</f>
        <v/>
      </c>
      <c r="D61" s="8">
        <f>'Hospital charges'!E58</f>
        <v/>
      </c>
      <c r="E61" s="9">
        <f>(D61-$C$108)^2</f>
        <v/>
      </c>
      <c r="F61" s="10">
        <f>'Hospital charges'!G58</f>
        <v/>
      </c>
      <c r="G61" s="10">
        <f>(F61-$D$108)^2</f>
        <v/>
      </c>
    </row>
    <row r="62" ht="15" customHeight="1">
      <c r="A62" s="7">
        <f>'Hospital charges'!A59</f>
        <v/>
      </c>
      <c r="B62" s="8">
        <f>'Hospital charges'!D59</f>
        <v/>
      </c>
      <c r="C62" s="9">
        <f>(B62-$B$108)^2</f>
        <v/>
      </c>
      <c r="D62" s="8">
        <f>'Hospital charges'!E59</f>
        <v/>
      </c>
      <c r="E62" s="9">
        <f>(D62-$C$108)^2</f>
        <v/>
      </c>
      <c r="F62" s="10">
        <f>'Hospital charges'!G59</f>
        <v/>
      </c>
      <c r="G62" s="10">
        <f>(F62-$D$108)^2</f>
        <v/>
      </c>
    </row>
    <row r="63" ht="15" customHeight="1">
      <c r="A63" s="7">
        <f>'Hospital charges'!A60</f>
        <v/>
      </c>
      <c r="B63" s="8">
        <f>'Hospital charges'!D60</f>
        <v/>
      </c>
      <c r="C63" s="9">
        <f>(B63-$B$108)^2</f>
        <v/>
      </c>
      <c r="D63" s="8">
        <f>'Hospital charges'!E60</f>
        <v/>
      </c>
      <c r="E63" s="9">
        <f>(D63-$C$108)^2</f>
        <v/>
      </c>
      <c r="F63" s="10">
        <f>'Hospital charges'!G60</f>
        <v/>
      </c>
      <c r="G63" s="10">
        <f>(F63-$D$108)^2</f>
        <v/>
      </c>
    </row>
    <row r="64" ht="15" customHeight="1">
      <c r="A64" s="7">
        <f>'Hospital charges'!A61</f>
        <v/>
      </c>
      <c r="B64" s="8">
        <f>'Hospital charges'!D61</f>
        <v/>
      </c>
      <c r="C64" s="9">
        <f>(B64-$B$108)^2</f>
        <v/>
      </c>
      <c r="D64" s="8">
        <f>'Hospital charges'!E61</f>
        <v/>
      </c>
      <c r="E64" s="9">
        <f>(D64-$C$108)^2</f>
        <v/>
      </c>
      <c r="F64" s="10">
        <f>'Hospital charges'!G61</f>
        <v/>
      </c>
      <c r="G64" s="10">
        <f>(F64-$D$108)^2</f>
        <v/>
      </c>
    </row>
    <row r="65" ht="15" customHeight="1">
      <c r="A65" s="7">
        <f>'Hospital charges'!A62</f>
        <v/>
      </c>
      <c r="B65" s="8">
        <f>'Hospital charges'!D62</f>
        <v/>
      </c>
      <c r="C65" s="9">
        <f>(B65-$B$108)^2</f>
        <v/>
      </c>
      <c r="D65" s="8">
        <f>'Hospital charges'!E62</f>
        <v/>
      </c>
      <c r="E65" s="9">
        <f>(D65-$C$108)^2</f>
        <v/>
      </c>
      <c r="F65" s="10">
        <f>'Hospital charges'!G62</f>
        <v/>
      </c>
      <c r="G65" s="10">
        <f>(F65-$D$108)^2</f>
        <v/>
      </c>
    </row>
    <row r="66" ht="15" customHeight="1">
      <c r="A66" s="7">
        <f>'Hospital charges'!A63</f>
        <v/>
      </c>
      <c r="B66" s="8">
        <f>'Hospital charges'!D63</f>
        <v/>
      </c>
      <c r="C66" s="9">
        <f>(B66-$B$108)^2</f>
        <v/>
      </c>
      <c r="D66" s="8">
        <f>'Hospital charges'!E63</f>
        <v/>
      </c>
      <c r="E66" s="9">
        <f>(D66-$C$108)^2</f>
        <v/>
      </c>
      <c r="F66" s="10">
        <f>'Hospital charges'!G63</f>
        <v/>
      </c>
      <c r="G66" s="10">
        <f>(F66-$D$108)^2</f>
        <v/>
      </c>
    </row>
    <row r="67" ht="15" customHeight="1">
      <c r="A67" s="7">
        <f>'Hospital charges'!A64</f>
        <v/>
      </c>
      <c r="B67" s="8">
        <f>'Hospital charges'!D64</f>
        <v/>
      </c>
      <c r="C67" s="9">
        <f>(B67-$B$108)^2</f>
        <v/>
      </c>
      <c r="D67" s="8">
        <f>'Hospital charges'!E64</f>
        <v/>
      </c>
      <c r="E67" s="9">
        <f>(D67-$C$108)^2</f>
        <v/>
      </c>
      <c r="F67" s="10">
        <f>'Hospital charges'!G64</f>
        <v/>
      </c>
      <c r="G67" s="10">
        <f>(F67-$D$108)^2</f>
        <v/>
      </c>
    </row>
    <row r="68" ht="15" customHeight="1">
      <c r="A68" s="7">
        <f>'Hospital charges'!A65</f>
        <v/>
      </c>
      <c r="B68" s="8">
        <f>'Hospital charges'!D65</f>
        <v/>
      </c>
      <c r="C68" s="9">
        <f>(B68-$B$108)^2</f>
        <v/>
      </c>
      <c r="D68" s="8">
        <f>'Hospital charges'!E65</f>
        <v/>
      </c>
      <c r="E68" s="9">
        <f>(D68-$C$108)^2</f>
        <v/>
      </c>
      <c r="F68" s="10">
        <f>'Hospital charges'!G65</f>
        <v/>
      </c>
      <c r="G68" s="10">
        <f>(F68-$D$108)^2</f>
        <v/>
      </c>
    </row>
    <row r="69" ht="15" customHeight="1">
      <c r="A69" s="7">
        <f>'Hospital charges'!A66</f>
        <v/>
      </c>
      <c r="B69" s="8">
        <f>'Hospital charges'!D66</f>
        <v/>
      </c>
      <c r="C69" s="9">
        <f>(B69-$B$108)^2</f>
        <v/>
      </c>
      <c r="D69" s="8">
        <f>'Hospital charges'!E66</f>
        <v/>
      </c>
      <c r="E69" s="9">
        <f>(D69-$C$108)^2</f>
        <v/>
      </c>
      <c r="F69" s="10">
        <f>'Hospital charges'!G66</f>
        <v/>
      </c>
      <c r="G69" s="10">
        <f>(F69-$D$108)^2</f>
        <v/>
      </c>
    </row>
    <row r="70" ht="15" customHeight="1">
      <c r="A70" s="7">
        <f>'Hospital charges'!A67</f>
        <v/>
      </c>
      <c r="B70" s="8">
        <f>'Hospital charges'!D67</f>
        <v/>
      </c>
      <c r="C70" s="9">
        <f>(B70-$B$108)^2</f>
        <v/>
      </c>
      <c r="D70" s="8">
        <f>'Hospital charges'!E67</f>
        <v/>
      </c>
      <c r="E70" s="9">
        <f>(D70-$C$108)^2</f>
        <v/>
      </c>
      <c r="F70" s="10">
        <f>'Hospital charges'!G67</f>
        <v/>
      </c>
      <c r="G70" s="10">
        <f>(F70-$D$108)^2</f>
        <v/>
      </c>
    </row>
    <row r="71" ht="15" customHeight="1">
      <c r="A71" s="7">
        <f>'Hospital charges'!A68</f>
        <v/>
      </c>
      <c r="B71" s="8">
        <f>'Hospital charges'!D68</f>
        <v/>
      </c>
      <c r="C71" s="9">
        <f>(B71-$B$108)^2</f>
        <v/>
      </c>
      <c r="D71" s="8">
        <f>'Hospital charges'!E68</f>
        <v/>
      </c>
      <c r="E71" s="9">
        <f>(D71-$C$108)^2</f>
        <v/>
      </c>
      <c r="F71" s="10">
        <f>'Hospital charges'!G68</f>
        <v/>
      </c>
      <c r="G71" s="10">
        <f>(F71-$D$108)^2</f>
        <v/>
      </c>
    </row>
    <row r="72" ht="15" customHeight="1">
      <c r="A72" s="7">
        <f>'Hospital charges'!A69</f>
        <v/>
      </c>
      <c r="B72" s="8">
        <f>'Hospital charges'!D69</f>
        <v/>
      </c>
      <c r="C72" s="9">
        <f>(B72-$B$108)^2</f>
        <v/>
      </c>
      <c r="D72" s="8">
        <f>'Hospital charges'!E69</f>
        <v/>
      </c>
      <c r="E72" s="9">
        <f>(D72-$C$108)^2</f>
        <v/>
      </c>
      <c r="F72" s="10">
        <f>'Hospital charges'!G69</f>
        <v/>
      </c>
      <c r="G72" s="10">
        <f>(F72-$D$108)^2</f>
        <v/>
      </c>
    </row>
    <row r="73" ht="15" customHeight="1">
      <c r="A73" s="7">
        <f>'Hospital charges'!A70</f>
        <v/>
      </c>
      <c r="B73" s="8">
        <f>'Hospital charges'!D70</f>
        <v/>
      </c>
      <c r="C73" s="9">
        <f>(B73-$B$108)^2</f>
        <v/>
      </c>
      <c r="D73" s="8">
        <f>'Hospital charges'!E70</f>
        <v/>
      </c>
      <c r="E73" s="9">
        <f>(D73-$C$108)^2</f>
        <v/>
      </c>
      <c r="F73" s="10">
        <f>'Hospital charges'!G70</f>
        <v/>
      </c>
      <c r="G73" s="10">
        <f>(F73-$D$108)^2</f>
        <v/>
      </c>
    </row>
    <row r="74" ht="15" customHeight="1">
      <c r="A74" s="7">
        <f>'Hospital charges'!A71</f>
        <v/>
      </c>
      <c r="B74" s="8">
        <f>'Hospital charges'!D71</f>
        <v/>
      </c>
      <c r="C74" s="9">
        <f>(B74-$B$108)^2</f>
        <v/>
      </c>
      <c r="D74" s="8">
        <f>'Hospital charges'!E71</f>
        <v/>
      </c>
      <c r="E74" s="9">
        <f>(D74-$C$108)^2</f>
        <v/>
      </c>
      <c r="F74" s="10">
        <f>'Hospital charges'!G71</f>
        <v/>
      </c>
      <c r="G74" s="10">
        <f>(F74-$D$108)^2</f>
        <v/>
      </c>
    </row>
    <row r="75" ht="15" customHeight="1">
      <c r="A75" s="7">
        <f>'Hospital charges'!A72</f>
        <v/>
      </c>
      <c r="B75" s="8">
        <f>'Hospital charges'!D72</f>
        <v/>
      </c>
      <c r="C75" s="9">
        <f>(B75-$B$108)^2</f>
        <v/>
      </c>
      <c r="D75" s="8">
        <f>'Hospital charges'!E72</f>
        <v/>
      </c>
      <c r="E75" s="9">
        <f>(D75-$C$108)^2</f>
        <v/>
      </c>
      <c r="F75" s="10">
        <f>'Hospital charges'!G72</f>
        <v/>
      </c>
      <c r="G75" s="10">
        <f>(F75-$D$108)^2</f>
        <v/>
      </c>
    </row>
    <row r="76" ht="15" customHeight="1">
      <c r="A76" s="7">
        <f>'Hospital charges'!A73</f>
        <v/>
      </c>
      <c r="B76" s="8">
        <f>'Hospital charges'!D73</f>
        <v/>
      </c>
      <c r="C76" s="9">
        <f>(B76-$B$108)^2</f>
        <v/>
      </c>
      <c r="D76" s="8">
        <f>'Hospital charges'!E73</f>
        <v/>
      </c>
      <c r="E76" s="9">
        <f>(D76-$C$108)^2</f>
        <v/>
      </c>
      <c r="F76" s="10">
        <f>'Hospital charges'!G73</f>
        <v/>
      </c>
      <c r="G76" s="10">
        <f>(F76-$D$108)^2</f>
        <v/>
      </c>
    </row>
    <row r="77" ht="15" customHeight="1">
      <c r="A77" s="7">
        <f>'Hospital charges'!A74</f>
        <v/>
      </c>
      <c r="B77" s="8">
        <f>'Hospital charges'!D74</f>
        <v/>
      </c>
      <c r="C77" s="9">
        <f>(B77-$B$108)^2</f>
        <v/>
      </c>
      <c r="D77" s="8">
        <f>'Hospital charges'!E74</f>
        <v/>
      </c>
      <c r="E77" s="9">
        <f>(D77-$C$108)^2</f>
        <v/>
      </c>
      <c r="F77" s="10">
        <f>'Hospital charges'!G74</f>
        <v/>
      </c>
      <c r="G77" s="10">
        <f>(F77-$D$108)^2</f>
        <v/>
      </c>
    </row>
    <row r="78" ht="15" customHeight="1">
      <c r="A78" s="7">
        <f>'Hospital charges'!A75</f>
        <v/>
      </c>
      <c r="B78" s="8">
        <f>'Hospital charges'!D75</f>
        <v/>
      </c>
      <c r="C78" s="9">
        <f>(B78-$B$108)^2</f>
        <v/>
      </c>
      <c r="D78" s="8">
        <f>'Hospital charges'!E75</f>
        <v/>
      </c>
      <c r="E78" s="9">
        <f>(D78-$C$108)^2</f>
        <v/>
      </c>
      <c r="F78" s="10">
        <f>'Hospital charges'!G75</f>
        <v/>
      </c>
      <c r="G78" s="10">
        <f>(F78-$D$108)^2</f>
        <v/>
      </c>
    </row>
    <row r="79" ht="15" customHeight="1">
      <c r="A79" s="7">
        <f>'Hospital charges'!A76</f>
        <v/>
      </c>
      <c r="B79" s="8">
        <f>'Hospital charges'!D76</f>
        <v/>
      </c>
      <c r="C79" s="9">
        <f>(B79-$B$108)^2</f>
        <v/>
      </c>
      <c r="D79" s="8">
        <f>'Hospital charges'!E76</f>
        <v/>
      </c>
      <c r="E79" s="9">
        <f>(D79-$C$108)^2</f>
        <v/>
      </c>
      <c r="F79" s="10">
        <f>'Hospital charges'!G76</f>
        <v/>
      </c>
      <c r="G79" s="10">
        <f>(F79-$D$108)^2</f>
        <v/>
      </c>
    </row>
    <row r="80" ht="15" customHeight="1">
      <c r="A80" s="7">
        <f>'Hospital charges'!A77</f>
        <v/>
      </c>
      <c r="B80" s="8">
        <f>'Hospital charges'!D77</f>
        <v/>
      </c>
      <c r="C80" s="9">
        <f>(B80-$B$108)^2</f>
        <v/>
      </c>
      <c r="D80" s="8">
        <f>'Hospital charges'!E77</f>
        <v/>
      </c>
      <c r="E80" s="9">
        <f>(D80-$C$108)^2</f>
        <v/>
      </c>
      <c r="F80" s="10">
        <f>'Hospital charges'!G77</f>
        <v/>
      </c>
      <c r="G80" s="10">
        <f>(F80-$D$108)^2</f>
        <v/>
      </c>
    </row>
    <row r="81" ht="15" customHeight="1">
      <c r="A81" s="7">
        <f>'Hospital charges'!A78</f>
        <v/>
      </c>
      <c r="B81" s="8">
        <f>'Hospital charges'!D78</f>
        <v/>
      </c>
      <c r="C81" s="9">
        <f>(B81-$B$108)^2</f>
        <v/>
      </c>
      <c r="D81" s="8">
        <f>'Hospital charges'!E78</f>
        <v/>
      </c>
      <c r="E81" s="9">
        <f>(D81-$C$108)^2</f>
        <v/>
      </c>
      <c r="F81" s="10">
        <f>'Hospital charges'!G78</f>
        <v/>
      </c>
      <c r="G81" s="10">
        <f>(F81-$D$108)^2</f>
        <v/>
      </c>
    </row>
    <row r="82" ht="15" customHeight="1">
      <c r="A82" s="7">
        <f>'Hospital charges'!A79</f>
        <v/>
      </c>
      <c r="B82" s="8">
        <f>'Hospital charges'!D79</f>
        <v/>
      </c>
      <c r="C82" s="9">
        <f>(B82-$B$108)^2</f>
        <v/>
      </c>
      <c r="D82" s="8">
        <f>'Hospital charges'!E79</f>
        <v/>
      </c>
      <c r="E82" s="9">
        <f>(D82-$C$108)^2</f>
        <v/>
      </c>
      <c r="F82" s="10">
        <f>'Hospital charges'!G79</f>
        <v/>
      </c>
      <c r="G82" s="10">
        <f>(F82-$D$108)^2</f>
        <v/>
      </c>
    </row>
    <row r="83" ht="15" customHeight="1">
      <c r="A83" s="7">
        <f>'Hospital charges'!A80</f>
        <v/>
      </c>
      <c r="B83" s="8">
        <f>'Hospital charges'!D80</f>
        <v/>
      </c>
      <c r="C83" s="9">
        <f>(B83-$B$108)^2</f>
        <v/>
      </c>
      <c r="D83" s="8">
        <f>'Hospital charges'!E80</f>
        <v/>
      </c>
      <c r="E83" s="9">
        <f>(D83-$C$108)^2</f>
        <v/>
      </c>
      <c r="F83" s="10">
        <f>'Hospital charges'!G80</f>
        <v/>
      </c>
      <c r="G83" s="10">
        <f>(F83-$D$108)^2</f>
        <v/>
      </c>
    </row>
    <row r="84" ht="15" customHeight="1">
      <c r="A84" s="7">
        <f>'Hospital charges'!A81</f>
        <v/>
      </c>
      <c r="B84" s="8">
        <f>'Hospital charges'!D81</f>
        <v/>
      </c>
      <c r="C84" s="9">
        <f>(B84-$B$108)^2</f>
        <v/>
      </c>
      <c r="D84" s="8">
        <f>'Hospital charges'!E81</f>
        <v/>
      </c>
      <c r="E84" s="9">
        <f>(D84-$C$108)^2</f>
        <v/>
      </c>
      <c r="F84" s="10">
        <f>'Hospital charges'!G81</f>
        <v/>
      </c>
      <c r="G84" s="10">
        <f>(F84-$D$108)^2</f>
        <v/>
      </c>
    </row>
    <row r="85" ht="15" customHeight="1">
      <c r="A85" s="7">
        <f>'Hospital charges'!A82</f>
        <v/>
      </c>
      <c r="B85" s="8">
        <f>'Hospital charges'!D82</f>
        <v/>
      </c>
      <c r="C85" s="9">
        <f>(B85-$B$108)^2</f>
        <v/>
      </c>
      <c r="D85" s="8">
        <f>'Hospital charges'!E82</f>
        <v/>
      </c>
      <c r="E85" s="9">
        <f>(D85-$C$108)^2</f>
        <v/>
      </c>
      <c r="F85" s="10">
        <f>'Hospital charges'!G82</f>
        <v/>
      </c>
      <c r="G85" s="10">
        <f>(F85-$D$108)^2</f>
        <v/>
      </c>
    </row>
    <row r="86" ht="15" customHeight="1">
      <c r="A86" s="7">
        <f>'Hospital charges'!A83</f>
        <v/>
      </c>
      <c r="B86" s="8">
        <f>'Hospital charges'!D83</f>
        <v/>
      </c>
      <c r="C86" s="9">
        <f>(B86-$B$108)^2</f>
        <v/>
      </c>
      <c r="D86" s="8">
        <f>'Hospital charges'!E83</f>
        <v/>
      </c>
      <c r="E86" s="9">
        <f>(D86-$C$108)^2</f>
        <v/>
      </c>
      <c r="F86" s="10">
        <f>'Hospital charges'!G83</f>
        <v/>
      </c>
      <c r="G86" s="10">
        <f>(F86-$D$108)^2</f>
        <v/>
      </c>
    </row>
    <row r="87" ht="15" customHeight="1">
      <c r="A87" s="7">
        <f>'Hospital charges'!A84</f>
        <v/>
      </c>
      <c r="B87" s="8">
        <f>'Hospital charges'!D84</f>
        <v/>
      </c>
      <c r="C87" s="9">
        <f>(B87-$B$108)^2</f>
        <v/>
      </c>
      <c r="D87" s="8">
        <f>'Hospital charges'!E84</f>
        <v/>
      </c>
      <c r="E87" s="9">
        <f>(D87-$C$108)^2</f>
        <v/>
      </c>
      <c r="F87" s="10">
        <f>'Hospital charges'!G84</f>
        <v/>
      </c>
      <c r="G87" s="10">
        <f>(F87-$D$108)^2</f>
        <v/>
      </c>
    </row>
    <row r="88" ht="15" customHeight="1">
      <c r="A88" s="7">
        <f>'Hospital charges'!A85</f>
        <v/>
      </c>
      <c r="B88" s="8">
        <f>'Hospital charges'!D85</f>
        <v/>
      </c>
      <c r="C88" s="9">
        <f>(B88-$B$108)^2</f>
        <v/>
      </c>
      <c r="D88" s="8">
        <f>'Hospital charges'!E85</f>
        <v/>
      </c>
      <c r="E88" s="9">
        <f>(D88-$C$108)^2</f>
        <v/>
      </c>
      <c r="F88" s="10">
        <f>'Hospital charges'!G85</f>
        <v/>
      </c>
      <c r="G88" s="10">
        <f>(F88-$D$108)^2</f>
        <v/>
      </c>
    </row>
    <row r="89" ht="15" customHeight="1">
      <c r="A89" s="7">
        <f>'Hospital charges'!A86</f>
        <v/>
      </c>
      <c r="B89" s="8">
        <f>'Hospital charges'!D86</f>
        <v/>
      </c>
      <c r="C89" s="9">
        <f>(B89-$B$108)^2</f>
        <v/>
      </c>
      <c r="D89" s="8">
        <f>'Hospital charges'!E86</f>
        <v/>
      </c>
      <c r="E89" s="9">
        <f>(D89-$C$108)^2</f>
        <v/>
      </c>
      <c r="F89" s="10">
        <f>'Hospital charges'!G86</f>
        <v/>
      </c>
      <c r="G89" s="10">
        <f>(F89-$D$108)^2</f>
        <v/>
      </c>
    </row>
    <row r="90" ht="15" customHeight="1">
      <c r="A90" s="7">
        <f>'Hospital charges'!A87</f>
        <v/>
      </c>
      <c r="B90" s="8">
        <f>'Hospital charges'!D87</f>
        <v/>
      </c>
      <c r="C90" s="9">
        <f>(B90-$B$108)^2</f>
        <v/>
      </c>
      <c r="D90" s="8">
        <f>'Hospital charges'!E87</f>
        <v/>
      </c>
      <c r="E90" s="9">
        <f>(D90-$C$108)^2</f>
        <v/>
      </c>
      <c r="F90" s="10">
        <f>'Hospital charges'!G87</f>
        <v/>
      </c>
      <c r="G90" s="10">
        <f>(F90-$D$108)^2</f>
        <v/>
      </c>
    </row>
    <row r="91" ht="15" customHeight="1">
      <c r="A91" s="7">
        <f>'Hospital charges'!A88</f>
        <v/>
      </c>
      <c r="B91" s="8">
        <f>'Hospital charges'!D88</f>
        <v/>
      </c>
      <c r="C91" s="9">
        <f>(B91-$B$108)^2</f>
        <v/>
      </c>
      <c r="D91" s="8">
        <f>'Hospital charges'!E88</f>
        <v/>
      </c>
      <c r="E91" s="9">
        <f>(D91-$C$108)^2</f>
        <v/>
      </c>
      <c r="F91" s="10">
        <f>'Hospital charges'!G88</f>
        <v/>
      </c>
      <c r="G91" s="10">
        <f>(F91-$D$108)^2</f>
        <v/>
      </c>
    </row>
    <row r="92" ht="15" customHeight="1">
      <c r="A92" s="7">
        <f>'Hospital charges'!A89</f>
        <v/>
      </c>
      <c r="B92" s="8">
        <f>'Hospital charges'!D89</f>
        <v/>
      </c>
      <c r="C92" s="9">
        <f>(B92-$B$108)^2</f>
        <v/>
      </c>
      <c r="D92" s="8">
        <f>'Hospital charges'!E89</f>
        <v/>
      </c>
      <c r="E92" s="9">
        <f>(D92-$C$108)^2</f>
        <v/>
      </c>
      <c r="F92" s="10">
        <f>'Hospital charges'!G89</f>
        <v/>
      </c>
      <c r="G92" s="10">
        <f>(F92-$D$108)^2</f>
        <v/>
      </c>
    </row>
    <row r="93" ht="15" customHeight="1">
      <c r="A93" s="7">
        <f>'Hospital charges'!A90</f>
        <v/>
      </c>
      <c r="B93" s="8">
        <f>'Hospital charges'!D90</f>
        <v/>
      </c>
      <c r="C93" s="9">
        <f>(B93-$B$108)^2</f>
        <v/>
      </c>
      <c r="D93" s="8">
        <f>'Hospital charges'!E90</f>
        <v/>
      </c>
      <c r="E93" s="9">
        <f>(D93-$C$108)^2</f>
        <v/>
      </c>
      <c r="F93" s="10">
        <f>'Hospital charges'!G90</f>
        <v/>
      </c>
      <c r="G93" s="10">
        <f>(F93-$D$108)^2</f>
        <v/>
      </c>
    </row>
    <row r="94" ht="15" customHeight="1">
      <c r="A94" s="7">
        <f>'Hospital charges'!A91</f>
        <v/>
      </c>
      <c r="B94" s="8">
        <f>'Hospital charges'!D91</f>
        <v/>
      </c>
      <c r="C94" s="9">
        <f>(B94-$B$108)^2</f>
        <v/>
      </c>
      <c r="D94" s="8">
        <f>'Hospital charges'!E91</f>
        <v/>
      </c>
      <c r="E94" s="9">
        <f>(D94-$C$108)^2</f>
        <v/>
      </c>
      <c r="F94" s="10">
        <f>'Hospital charges'!G91</f>
        <v/>
      </c>
      <c r="G94" s="10">
        <f>(F94-$D$108)^2</f>
        <v/>
      </c>
    </row>
    <row r="95" ht="15" customHeight="1">
      <c r="A95" s="7">
        <f>'Hospital charges'!A92</f>
        <v/>
      </c>
      <c r="B95" s="8">
        <f>'Hospital charges'!D92</f>
        <v/>
      </c>
      <c r="C95" s="9">
        <f>(B95-$B$108)^2</f>
        <v/>
      </c>
      <c r="D95" s="8">
        <f>'Hospital charges'!E92</f>
        <v/>
      </c>
      <c r="E95" s="9">
        <f>(D95-$C$108)^2</f>
        <v/>
      </c>
      <c r="F95" s="10">
        <f>'Hospital charges'!G92</f>
        <v/>
      </c>
      <c r="G95" s="10">
        <f>(F95-$D$108)^2</f>
        <v/>
      </c>
    </row>
    <row r="96" ht="15" customHeight="1">
      <c r="A96" s="7">
        <f>'Hospital charges'!A93</f>
        <v/>
      </c>
      <c r="B96" s="8">
        <f>'Hospital charges'!D93</f>
        <v/>
      </c>
      <c r="C96" s="9">
        <f>(B96-$B$108)^2</f>
        <v/>
      </c>
      <c r="D96" s="8">
        <f>'Hospital charges'!E93</f>
        <v/>
      </c>
      <c r="E96" s="9">
        <f>(D96-$C$108)^2</f>
        <v/>
      </c>
      <c r="F96" s="10">
        <f>'Hospital charges'!G93</f>
        <v/>
      </c>
      <c r="G96" s="10">
        <f>(F96-$D$108)^2</f>
        <v/>
      </c>
    </row>
    <row r="97" ht="15" customHeight="1">
      <c r="A97" s="7">
        <f>'Hospital charges'!A94</f>
        <v/>
      </c>
      <c r="B97" s="8">
        <f>'Hospital charges'!D94</f>
        <v/>
      </c>
      <c r="C97" s="9">
        <f>(B97-$B$108)^2</f>
        <v/>
      </c>
      <c r="D97" s="8">
        <f>'Hospital charges'!E94</f>
        <v/>
      </c>
      <c r="E97" s="9">
        <f>(D97-$C$108)^2</f>
        <v/>
      </c>
      <c r="F97" s="10">
        <f>'Hospital charges'!G94</f>
        <v/>
      </c>
      <c r="G97" s="10">
        <f>(F97-$D$108)^2</f>
        <v/>
      </c>
    </row>
    <row r="98" ht="15" customHeight="1">
      <c r="A98" s="7">
        <f>'Hospital charges'!A95</f>
        <v/>
      </c>
      <c r="B98" s="8">
        <f>'Hospital charges'!D95</f>
        <v/>
      </c>
      <c r="C98" s="9">
        <f>(B98-$B$108)^2</f>
        <v/>
      </c>
      <c r="D98" s="8">
        <f>'Hospital charges'!E95</f>
        <v/>
      </c>
      <c r="E98" s="9">
        <f>(D98-$C$108)^2</f>
        <v/>
      </c>
      <c r="F98" s="10">
        <f>'Hospital charges'!G95</f>
        <v/>
      </c>
      <c r="G98" s="10">
        <f>(F98-$D$108)^2</f>
        <v/>
      </c>
    </row>
    <row r="99" ht="15" customHeight="1">
      <c r="A99" s="7">
        <f>'Hospital charges'!A96</f>
        <v/>
      </c>
      <c r="B99" s="8">
        <f>'Hospital charges'!D96</f>
        <v/>
      </c>
      <c r="C99" s="9">
        <f>(B99-$B$108)^2</f>
        <v/>
      </c>
      <c r="D99" s="8">
        <f>'Hospital charges'!E96</f>
        <v/>
      </c>
      <c r="E99" s="9">
        <f>(D99-$C$108)^2</f>
        <v/>
      </c>
      <c r="F99" s="10">
        <f>'Hospital charges'!G96</f>
        <v/>
      </c>
      <c r="G99" s="10">
        <f>(F99-$D$108)^2</f>
        <v/>
      </c>
    </row>
    <row r="100" ht="15" customHeight="1">
      <c r="A100" s="7">
        <f>'Hospital charges'!A97</f>
        <v/>
      </c>
      <c r="B100" s="8">
        <f>'Hospital charges'!D97</f>
        <v/>
      </c>
      <c r="C100" s="9">
        <f>(B100-$B$108)^2</f>
        <v/>
      </c>
      <c r="D100" s="8">
        <f>'Hospital charges'!E97</f>
        <v/>
      </c>
      <c r="E100" s="9">
        <f>(D100-$C$108)^2</f>
        <v/>
      </c>
      <c r="F100" s="10">
        <f>'Hospital charges'!G97</f>
        <v/>
      </c>
      <c r="G100" s="10">
        <f>(F100-$D$108)^2</f>
        <v/>
      </c>
    </row>
    <row r="101" ht="15" customHeight="1">
      <c r="A101" s="7">
        <f>'Hospital charges'!A98</f>
        <v/>
      </c>
      <c r="B101" s="8">
        <f>'Hospital charges'!D98</f>
        <v/>
      </c>
      <c r="C101" s="9">
        <f>(B101-$B$108)^2</f>
        <v/>
      </c>
      <c r="D101" s="8">
        <f>'Hospital charges'!E98</f>
        <v/>
      </c>
      <c r="E101" s="9">
        <f>(D101-$C$108)^2</f>
        <v/>
      </c>
      <c r="F101" s="10">
        <f>'Hospital charges'!G98</f>
        <v/>
      </c>
      <c r="G101" s="10">
        <f>(F101-$D$108)^2</f>
        <v/>
      </c>
    </row>
    <row r="102" ht="15" customHeight="1">
      <c r="A102" s="7">
        <f>'Hospital charges'!A99</f>
        <v/>
      </c>
      <c r="B102" s="8">
        <f>'Hospital charges'!D99</f>
        <v/>
      </c>
      <c r="C102" s="9">
        <f>(B102-$B$108)^2</f>
        <v/>
      </c>
      <c r="D102" s="8">
        <f>'Hospital charges'!E99</f>
        <v/>
      </c>
      <c r="E102" s="9">
        <f>(D102-$C$108)^2</f>
        <v/>
      </c>
      <c r="F102" s="10">
        <f>'Hospital charges'!G99</f>
        <v/>
      </c>
      <c r="G102" s="10">
        <f>(F102-$D$108)^2</f>
        <v/>
      </c>
    </row>
    <row r="103" ht="15" customHeight="1">
      <c r="A103" s="7">
        <f>'Hospital charges'!A100</f>
        <v/>
      </c>
      <c r="B103" s="8">
        <f>'Hospital charges'!D100</f>
        <v/>
      </c>
      <c r="C103" s="9">
        <f>(B103-$B$108)^2</f>
        <v/>
      </c>
      <c r="D103" s="8">
        <f>'Hospital charges'!E100</f>
        <v/>
      </c>
      <c r="E103" s="9">
        <f>(D103-$C$108)^2</f>
        <v/>
      </c>
      <c r="F103" s="10">
        <f>'Hospital charges'!G100</f>
        <v/>
      </c>
      <c r="G103" s="10">
        <f>(F103-$D$108)^2</f>
        <v/>
      </c>
    </row>
    <row r="104" ht="15" customHeight="1">
      <c r="A104" s="7">
        <f>'Hospital charges'!A101</f>
        <v/>
      </c>
      <c r="B104" s="8">
        <f>'Hospital charges'!D101</f>
        <v/>
      </c>
      <c r="C104" s="9">
        <f>(B104-$B$108)^2</f>
        <v/>
      </c>
      <c r="D104" s="8">
        <f>'Hospital charges'!E101</f>
        <v/>
      </c>
      <c r="E104" s="9">
        <f>(D104-$C$108)^2</f>
        <v/>
      </c>
      <c r="F104" s="10">
        <f>'Hospital charges'!G101</f>
        <v/>
      </c>
      <c r="G104" s="10">
        <f>(F104-$D$108)^2</f>
        <v/>
      </c>
    </row>
    <row r="106" ht="15" customHeight="1">
      <c r="A106" s="11" t="inlineStr">
        <is>
          <t>Summary: Mean, Median, Skew, and Variance/Std Dev (Manual Formulas vs. Built-in Functions)</t>
        </is>
      </c>
    </row>
    <row r="107" ht="15" customHeight="1">
      <c r="A107" s="12" t="inlineStr">
        <is>
          <t>Statistic</t>
        </is>
      </c>
      <c r="B107" s="12" t="inlineStr">
        <is>
          <t>Age</t>
        </is>
      </c>
      <c r="C107" s="12" t="inlineStr">
        <is>
          <t>LOS</t>
        </is>
      </c>
      <c r="D107" s="12" t="inlineStr">
        <is>
          <t>Charges</t>
        </is>
      </c>
    </row>
    <row r="108" ht="15" customHeight="1">
      <c r="A108" s="7" t="inlineStr">
        <is>
          <t>Mean (=AVERAGE)</t>
        </is>
      </c>
      <c r="B108" s="10">
        <f>AVERAGE(B5:B104)</f>
        <v/>
      </c>
      <c r="C108" s="10">
        <f>AVERAGE(D5:D104)</f>
        <v/>
      </c>
      <c r="D108" s="10">
        <f>AVERAGE(F5:F104)</f>
        <v/>
      </c>
    </row>
    <row r="109" ht="15" customHeight="1">
      <c r="A109" s="7" t="inlineStr">
        <is>
          <t>Median (=MEDIAN)</t>
        </is>
      </c>
      <c r="B109" s="10">
        <f>MEDIAN(B5:B104)</f>
        <v/>
      </c>
      <c r="C109" s="10">
        <f>MEDIAN(D5:D104)</f>
        <v/>
      </c>
      <c r="D109" s="10">
        <f>MEDIAN(F5:F104)</f>
        <v/>
      </c>
    </row>
    <row r="110" ht="15" customHeight="1">
      <c r="A110" s="13" t="inlineStr">
        <is>
          <t>Skew Direction (Mean vs. Median)</t>
        </is>
      </c>
      <c r="B110" s="7">
        <f>IF(B108&gt;B109,"Right-skewed (positive)",IF(B108&lt;B109,"Left-skewed (negative)","Symmetric"))</f>
        <v/>
      </c>
      <c r="C110" s="7">
        <f>IF(C108&gt;C109,"Right-skewed (positive)",IF(C108&lt;C109,"Left-skewed (negative)","Symmetric"))</f>
        <v/>
      </c>
      <c r="D110" s="7">
        <f>IF(D108&gt;D109,"Right-skewed (positive)",IF(D108&lt;D109,"Left-skewed (negative)","Symmetric"))</f>
        <v/>
      </c>
    </row>
    <row r="111" ht="15" customHeight="1">
      <c r="A111" s="14" t="inlineStr">
        <is>
          <t>(If Mean &gt; Median, the distribution is skewed right/positively, pulled by high outliers; if Mean &lt; Median, skewed left/negatively; if Mean = Median, roughly symmetric.)</t>
        </is>
      </c>
    </row>
    <row r="112" ht="15" customHeight="1">
      <c r="A112" s="7" t="inlineStr">
        <is>
          <t>n (sample size)</t>
        </is>
      </c>
      <c r="B112" s="8">
        <f>COUNT(B5:B104)</f>
        <v/>
      </c>
      <c r="C112" s="8">
        <f>COUNT(D5:D104)</f>
        <v/>
      </c>
      <c r="D112" s="8">
        <f>COUNT(F5:F104)</f>
        <v/>
      </c>
    </row>
    <row r="113" ht="15" customHeight="1">
      <c r="A113" s="7" t="inlineStr">
        <is>
          <t>Sum of Squared Deviations: Sum(x - xbar)^2</t>
        </is>
      </c>
      <c r="B113" s="10">
        <f>SUM(C5:C104)</f>
        <v/>
      </c>
      <c r="C113" s="10">
        <f>SUM(E5:E104)</f>
        <v/>
      </c>
      <c r="D113" s="10">
        <f>SUM(G5:G104)</f>
        <v/>
      </c>
    </row>
    <row r="114" ht="15" customHeight="1">
      <c r="A114" s="7" t="inlineStr">
        <is>
          <t>Variance (Eq. 6.3): s^2 = Sum(x-xbar)^2 / (n-1)</t>
        </is>
      </c>
      <c r="B114" s="15">
        <f>B113/(B112-1)</f>
        <v/>
      </c>
      <c r="C114" s="15">
        <f>C113/(C112-1)</f>
        <v/>
      </c>
      <c r="D114" s="15">
        <f>D113/(D112-1)</f>
        <v/>
      </c>
    </row>
    <row r="115" ht="15" customHeight="1">
      <c r="A115" s="7" t="inlineStr">
        <is>
          <t>Std Dev (Eq. 6.4): s = SQRT(s^2)</t>
        </is>
      </c>
      <c r="B115" s="15">
        <f>SQRT(B114)</f>
        <v/>
      </c>
      <c r="C115" s="15">
        <f>SQRT(C114)</f>
        <v/>
      </c>
      <c r="D115" s="15">
        <f>SQRT(D114)</f>
        <v/>
      </c>
    </row>
    <row r="117" ht="15" customHeight="1">
      <c r="A117" s="7" t="inlineStr">
        <is>
          <t>Variance (=VAR() function)</t>
        </is>
      </c>
      <c r="B117" s="15">
        <f>VAR(B5:B104)</f>
        <v/>
      </c>
      <c r="C117" s="15">
        <f>VAR(D5:D104)</f>
        <v/>
      </c>
      <c r="D117" s="15">
        <f>VAR(F5:F104)</f>
        <v/>
      </c>
    </row>
    <row r="118" ht="15" customHeight="1">
      <c r="A118" s="7" t="inlineStr">
        <is>
          <t>Std Dev (=STDEV() function)</t>
        </is>
      </c>
      <c r="B118" s="15">
        <f>STDEV(B5:B104)</f>
        <v/>
      </c>
      <c r="C118" s="15">
        <f>STDEV(D5:D104)</f>
        <v/>
      </c>
      <c r="D118" s="15">
        <f>STDEV(F5:F104)</f>
        <v/>
      </c>
    </row>
    <row r="119" ht="15" customHeight="1">
      <c r="A119" s="16" t="inlineStr">
        <is>
          <t>Match Check: (c) vs. (d)</t>
        </is>
      </c>
      <c r="B119" s="17">
        <f>IF(ROUND(B114,4)=ROUND(B117,4),"Match","No Match")</f>
        <v/>
      </c>
      <c r="C119" s="17">
        <f>IF(ROUND(C114,4)=ROUND(C117,4),"Match","No Match")</f>
        <v/>
      </c>
      <c r="D119" s="17">
        <f>IF(ROUND(D114,4)=ROUND(D117,4),"Match","No Match")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Prerna Sinha</dc:creator>
  <dc:language xmlns:dc="http://purl.org/dc/elements/1.1/">en-US</dc:language>
  <dcterms:created xmlns:dcterms="http://purl.org/dc/terms/" xmlns:xsi="http://www.w3.org/2001/XMLSchema-instance" xsi:type="dcterms:W3CDTF">2002-08-12T12:41:30Z</dcterms:created>
  <dcterms:modified xmlns:dcterms="http://purl.org/dc/terms/" xmlns:xsi="http://www.w3.org/2001/XMLSchema-instance" xsi:type="dcterms:W3CDTF">2026-10-16T00:50:31Z</dcterms:modified>
  <cp:lastModifiedBy>Prerna Sinha</cp:lastModifiedBy>
  <cp:revision>0</cp:revision>
  <cp:lastPrinted>2002-03-09T18:06:04Z</cp:lastPrinted>
</cp:coreProperties>
</file>