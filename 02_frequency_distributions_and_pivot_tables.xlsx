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7ff9bbc394f2cca/Desktop/UNIVERSITY OF SAN DIEGO DOCS/HCIN615/"/>
    </mc:Choice>
  </mc:AlternateContent>
  <xr:revisionPtr revIDLastSave="0" documentId="8_{22B2BF84-7BB6-445A-B046-6A3E73DC0818}" xr6:coauthVersionLast="47" xr6:coauthVersionMax="47" xr10:uidLastSave="{00000000-0000-0000-0000-000000000000}"/>
  <bookViews>
    <workbookView xWindow="-110" yWindow="-110" windowWidth="19420" windowHeight="11500" tabRatio="500" activeTab="1" xr2:uid="{00000000-000D-0000-FFFF-FFFF00000000}"/>
  </bookViews>
  <sheets>
    <sheet name="Overview" sheetId="1" r:id="rId1"/>
    <sheet name="Pivot Tables" sheetId="5" r:id="rId2"/>
    <sheet name="Hospital charges" sheetId="2" r:id="rId3"/>
    <sheet name="Age Distribution" sheetId="3" r:id="rId4"/>
    <sheet name="Age vs LOS" sheetId="4" r:id="rId5"/>
  </sheets>
  <calcPr calcId="191029" iterateDelta="1E-4"/>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4" i="4" l="1"/>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C8" i="3" a="1"/>
  <c r="B4" i="3"/>
  <c r="B3" i="3"/>
  <c r="F101" i="2"/>
  <c r="C101" i="2"/>
  <c r="F100" i="2"/>
  <c r="C100" i="2"/>
  <c r="F99" i="2"/>
  <c r="C99" i="2"/>
  <c r="F98" i="2"/>
  <c r="C98" i="2"/>
  <c r="F97" i="2"/>
  <c r="C97" i="2"/>
  <c r="F96" i="2"/>
  <c r="C96" i="2"/>
  <c r="F95" i="2"/>
  <c r="C95" i="2"/>
  <c r="F94" i="2"/>
  <c r="C94" i="2"/>
  <c r="F93" i="2"/>
  <c r="C93" i="2"/>
  <c r="F92" i="2"/>
  <c r="C92" i="2"/>
  <c r="F91" i="2"/>
  <c r="C91" i="2"/>
  <c r="F90" i="2"/>
  <c r="C90" i="2"/>
  <c r="F89" i="2"/>
  <c r="C89" i="2"/>
  <c r="F88" i="2"/>
  <c r="C88" i="2"/>
  <c r="F87" i="2"/>
  <c r="C87" i="2"/>
  <c r="F86" i="2"/>
  <c r="C86" i="2"/>
  <c r="F85" i="2"/>
  <c r="C85" i="2"/>
  <c r="F84" i="2"/>
  <c r="C84" i="2"/>
  <c r="F83" i="2"/>
  <c r="C83" i="2"/>
  <c r="F82" i="2"/>
  <c r="C82" i="2"/>
  <c r="F81" i="2"/>
  <c r="C81" i="2"/>
  <c r="F80" i="2"/>
  <c r="C80" i="2"/>
  <c r="F79" i="2"/>
  <c r="C79" i="2"/>
  <c r="F78" i="2"/>
  <c r="C78" i="2"/>
  <c r="F77" i="2"/>
  <c r="C77" i="2"/>
  <c r="F76" i="2"/>
  <c r="C76" i="2"/>
  <c r="F75" i="2"/>
  <c r="C75" i="2"/>
  <c r="F74" i="2"/>
  <c r="C74" i="2"/>
  <c r="F73" i="2"/>
  <c r="C73" i="2"/>
  <c r="F72" i="2"/>
  <c r="C72" i="2"/>
  <c r="F71" i="2"/>
  <c r="C71" i="2"/>
  <c r="F70" i="2"/>
  <c r="C70" i="2"/>
  <c r="F69" i="2"/>
  <c r="C69" i="2"/>
  <c r="F68" i="2"/>
  <c r="C68" i="2"/>
  <c r="F67" i="2"/>
  <c r="C67" i="2"/>
  <c r="F66" i="2"/>
  <c r="C66" i="2"/>
  <c r="F65" i="2"/>
  <c r="C65" i="2"/>
  <c r="F64" i="2"/>
  <c r="C64" i="2"/>
  <c r="F63" i="2"/>
  <c r="C63" i="2"/>
  <c r="F62" i="2"/>
  <c r="C62" i="2"/>
  <c r="F61" i="2"/>
  <c r="C61" i="2"/>
  <c r="F60" i="2"/>
  <c r="C60" i="2"/>
  <c r="F59" i="2"/>
  <c r="C59" i="2"/>
  <c r="F58" i="2"/>
  <c r="C58" i="2"/>
  <c r="F57" i="2"/>
  <c r="C57" i="2"/>
  <c r="F56" i="2"/>
  <c r="C56" i="2"/>
  <c r="F55" i="2"/>
  <c r="C55" i="2"/>
  <c r="F54" i="2"/>
  <c r="C54" i="2"/>
  <c r="F53" i="2"/>
  <c r="C53" i="2"/>
  <c r="F52" i="2"/>
  <c r="C52" i="2"/>
  <c r="F51" i="2"/>
  <c r="C51" i="2"/>
  <c r="F50" i="2"/>
  <c r="C50" i="2"/>
  <c r="F49" i="2"/>
  <c r="C49" i="2"/>
  <c r="F48" i="2"/>
  <c r="C48" i="2"/>
  <c r="F47" i="2"/>
  <c r="C47" i="2"/>
  <c r="F46" i="2"/>
  <c r="C46" i="2"/>
  <c r="F45" i="2"/>
  <c r="C45" i="2"/>
  <c r="F44" i="2"/>
  <c r="C44" i="2"/>
  <c r="F43" i="2"/>
  <c r="C43" i="2"/>
  <c r="F42" i="2"/>
  <c r="C42" i="2"/>
  <c r="F41" i="2"/>
  <c r="C41" i="2"/>
  <c r="F40" i="2"/>
  <c r="C40" i="2"/>
  <c r="F39" i="2"/>
  <c r="C39" i="2"/>
  <c r="F38" i="2"/>
  <c r="C38" i="2"/>
  <c r="F37" i="2"/>
  <c r="C37" i="2"/>
  <c r="F36" i="2"/>
  <c r="C36" i="2"/>
  <c r="F35" i="2"/>
  <c r="C35" i="2"/>
  <c r="F34" i="2"/>
  <c r="C34" i="2"/>
  <c r="F33" i="2"/>
  <c r="C33" i="2"/>
  <c r="F32" i="2"/>
  <c r="C32" i="2"/>
  <c r="F31" i="2"/>
  <c r="C31" i="2"/>
  <c r="F30" i="2"/>
  <c r="C30" i="2"/>
  <c r="F29" i="2"/>
  <c r="C29" i="2"/>
  <c r="F28" i="2"/>
  <c r="C28" i="2"/>
  <c r="F27" i="2"/>
  <c r="C27" i="2"/>
  <c r="F26" i="2"/>
  <c r="C26" i="2"/>
  <c r="F25" i="2"/>
  <c r="C25" i="2"/>
  <c r="F24" i="2"/>
  <c r="C24" i="2"/>
  <c r="F23" i="2"/>
  <c r="C23" i="2"/>
  <c r="F22" i="2"/>
  <c r="C22" i="2"/>
  <c r="F21" i="2"/>
  <c r="C21" i="2"/>
  <c r="F20" i="2"/>
  <c r="C20" i="2"/>
  <c r="F19" i="2"/>
  <c r="C19" i="2"/>
  <c r="F18" i="2"/>
  <c r="C18" i="2"/>
  <c r="F17" i="2"/>
  <c r="C17" i="2"/>
  <c r="F16" i="2"/>
  <c r="C16" i="2"/>
  <c r="F15" i="2"/>
  <c r="C15" i="2"/>
  <c r="F14" i="2"/>
  <c r="C14" i="2"/>
  <c r="F13" i="2"/>
  <c r="C13" i="2"/>
  <c r="F12" i="2"/>
  <c r="C12" i="2"/>
  <c r="F11" i="2"/>
  <c r="C11" i="2"/>
  <c r="F10" i="2"/>
  <c r="C10" i="2"/>
  <c r="F9" i="2"/>
  <c r="C9" i="2"/>
  <c r="F8" i="2"/>
  <c r="C8" i="2"/>
  <c r="F7" i="2"/>
  <c r="C7" i="2"/>
  <c r="F6" i="2"/>
  <c r="C6" i="2"/>
  <c r="F5" i="2"/>
  <c r="C5" i="2"/>
  <c r="F4" i="2"/>
  <c r="C4" i="2"/>
  <c r="F3" i="2"/>
  <c r="C3" i="2"/>
  <c r="F2" i="2"/>
  <c r="C2" i="2"/>
  <c r="C13" i="3" l="1"/>
  <c r="C10" i="3"/>
  <c r="C8" i="3"/>
  <c r="C12" i="3"/>
  <c r="C11" i="3"/>
  <c r="C14" i="3"/>
  <c r="C9" i="3"/>
  <c r="D13" i="3" l="1"/>
  <c r="E13" i="3"/>
  <c r="C47" i="3"/>
  <c r="D10" i="3"/>
  <c r="E10" i="3"/>
  <c r="C44" i="3"/>
  <c r="D8" i="3"/>
  <c r="F9" i="3"/>
  <c r="G9" i="3" s="1"/>
  <c r="F13" i="3"/>
  <c r="G13" i="3" s="1"/>
  <c r="F14" i="3"/>
  <c r="G14" i="3" s="1"/>
  <c r="C42" i="3"/>
  <c r="F8" i="3"/>
  <c r="G8" i="3" s="1"/>
  <c r="F10" i="3"/>
  <c r="G10" i="3" s="1"/>
  <c r="F12" i="3"/>
  <c r="G12" i="3" s="1"/>
  <c r="E8" i="3"/>
  <c r="F11" i="3"/>
  <c r="G11" i="3" s="1"/>
  <c r="C15" i="3"/>
  <c r="D12" i="3"/>
  <c r="E12" i="3"/>
  <c r="C46" i="3"/>
  <c r="E11" i="3"/>
  <c r="C45" i="3"/>
  <c r="D11" i="3"/>
  <c r="E14" i="3"/>
  <c r="D14" i="3"/>
  <c r="C48" i="3"/>
  <c r="D9" i="3"/>
  <c r="C43" i="3"/>
  <c r="E9" i="3"/>
  <c r="E15" i="3" l="1"/>
</calcChain>
</file>

<file path=xl/sharedStrings.xml><?xml version="1.0" encoding="utf-8"?>
<sst xmlns="http://schemas.openxmlformats.org/spreadsheetml/2006/main" count="180" uniqueCount="64">
  <si>
    <t xml:space="preserve">Age Frequency Distribution, Charts &amp; PivotTables (Hospital Charges Data, n = 100)</t>
  </si>
  <si>
    <t xml:space="preserve">Source: "Hospital charges" sheet - 100 patients; variable analyzed: Age.</t>
  </si>
  <si>
    <t>Sheet "Age Distribution":</t>
  </si>
  <si>
    <t xml:space="preserve"> - MIN and MAX of Age, found with =MIN() and =MAX().</t>
  </si>
  <si>
    <t xml:space="preserve"> - Frequency distribution: 7 classes of width 10 (30-39 through 90-99) spanning the full Age range (39-96). Counts use an array-entered =FREQUENCY() formula; relative, percentage, cumulative and cumulative relative frequencies are calculated from it.</t>
  </si>
  <si>
    <t xml:space="preserve"> - Histogram: column chart of the 7 age classes with bars touching (0% gap), as is standard for continuous data.</t>
  </si>
  <si>
    <t xml:space="preserve"> - Frequency polygon: built from class midpoints, with a zero-frequency class added at each end so the line closes to the horizontal axis.</t>
  </si>
  <si>
    <t xml:space="preserve"> - Bar chart: the same frequency table drawn with gaps between bars.</t>
  </si>
  <si>
    <t xml:space="preserve"> - Pie chart: the same distribution shown as percentages of the whole.</t>
  </si>
  <si>
    <t>Sheet "Age vs LOS":</t>
  </si>
  <si>
    <t xml:space="preserve"> - Scatter diagram of Age (x-axis) against Length of Stay / LOS (y-axis) for all 100 patients.</t>
  </si>
  <si>
    <t xml:space="preserve">Sheet "Pivot Tables": PivotTables counting patients by sex, and by length-of-stay category (Short / Medium / Long).</t>
  </si>
  <si>
    <t xml:space="preserve"/>
  </si>
  <si>
    <t>ID</t>
  </si>
  <si>
    <t>Sex</t>
  </si>
  <si>
    <t>Sex1</t>
  </si>
  <si>
    <t>Age</t>
  </si>
  <si>
    <t>LOS</t>
  </si>
  <si>
    <t>LOS1</t>
  </si>
  <si>
    <t>DRG</t>
  </si>
  <si>
    <t>Charges</t>
  </si>
  <si>
    <t>Medicare</t>
  </si>
  <si>
    <t>Diag</t>
  </si>
  <si>
    <t>ICD-9</t>
  </si>
  <si>
    <t>F</t>
  </si>
  <si>
    <t>M</t>
  </si>
  <si>
    <t>Age Frequency Distribution (replicates Figure 4.2)</t>
  </si>
  <si>
    <t>Minimum Age =</t>
  </si>
  <si>
    <t>Maximum Age =</t>
  </si>
  <si>
    <t>Age Class</t>
  </si>
  <si>
    <t>Upper Boundary</t>
  </si>
  <si>
    <t>Frequency f</t>
  </si>
  <si>
    <t>Relative Frequency</t>
  </si>
  <si>
    <t>Percentage (%)</t>
  </si>
  <si>
    <t>Cumulative Frequency</t>
  </si>
  <si>
    <t>Cumulative Rel. Frequency</t>
  </si>
  <si>
    <t>30-39</t>
  </si>
  <si>
    <t>40-49</t>
  </si>
  <si>
    <t>50-59</t>
  </si>
  <si>
    <t>60-69</t>
  </si>
  <si>
    <t>70-79</t>
  </si>
  <si>
    <t>80-89</t>
  </si>
  <si>
    <t>90-99</t>
  </si>
  <si>
    <t>Total</t>
  </si>
  <si>
    <t xml:space="preserve">Yellow cells (Upper Boundary) are the FREQUENCY() bin inputs; changing them recalculates the whole table.</t>
  </si>
  <si>
    <t>Modified data for Figure 4.9 (frequency polygon): class midpoints, with a zero-frequency class added at each end</t>
  </si>
  <si>
    <t>Midpoint</t>
  </si>
  <si>
    <t>Class</t>
  </si>
  <si>
    <t>20-29</t>
  </si>
  <si>
    <t>100-109</t>
  </si>
  <si>
    <t>Figure 4.12 - Scatter Diagram of Age and Length of Stay (LOS)</t>
  </si>
  <si>
    <t>Age and LOS pulled directly (by formula) from the "Hospital charges" sheet.</t>
  </si>
  <si>
    <t>Row Labels</t>
  </si>
  <si>
    <t>Grand Total</t>
  </si>
  <si>
    <t>Count of Sex</t>
  </si>
  <si>
    <t>Pivot Table 1: Sex - Count of Sex</t>
  </si>
  <si>
    <t>Count of Age</t>
  </si>
  <si>
    <t>Pivot Table 2: Sex - Count of Age</t>
  </si>
  <si>
    <t>Is there any difference between the two tables? No. Both PivotTables show identical results (F=64, M=36, Grand Total=100) because the COUNT function simply counts the number of non-blank records in each Sex category, regardless of which field is placed in the Data/Values area. Since neither Sex nor Age has any missing (blank) values in the data set, counting Sex and counting Age within each Sex group produce the same result. The count is determined by the number of rows per category, not by the values contained in the field being counted.</t>
  </si>
  <si>
    <t>Long</t>
  </si>
  <si>
    <t>Medium</t>
  </si>
  <si>
    <t>Short</t>
  </si>
  <si>
    <t>Count of LOS1</t>
  </si>
  <si>
    <t>Pivot Table 3: LOS1 - Count of LOS1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</si>
</sst>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0.000"/>
    <numFmt numFmtId="166" formatCode="0.0"/>
  </numFmts>
  <fonts count="9" x14ac:knownFonts="1">
    <font>
      <sz val="10"/>
      <name val="Arial"/>
      <charset val="1"/>
    </font>
    <font>
      <b/>
      <sz val="13"/>
      <name val="Arial"/>
      <charset val="1"/>
    </font>
    <font>
      <i/>
      <sz val="10"/>
      <color rgb="FF7F7F7F"/>
      <name val="Arial"/>
      <charset val="1"/>
    </font>
    <font>
      <sz val="11"/>
      <name val="Arial"/>
      <charset val="1"/>
    </font>
    <font>
      <b/>
      <sz val="11"/>
      <name val="Arial"/>
      <charset val="1"/>
    </font>
    <font>
      <b/>
      <sz val="10"/>
      <name val="Arial"/>
      <family val="2"/>
      <charset val="1"/>
    </font>
    <font>
      <b/>
      <sz val="10"/>
      <name val="Arial"/>
      <charset val="1"/>
    </font>
    <font>
      <b/>
      <sz val="11"/>
      <color rgb="FFFFFFFF"/>
      <name val="Arial"/>
      <charset val="1"/>
    </font>
    <font>
      <i/>
      <sz val="10"/>
      <color rgb="FFC00000"/>
      <name val="Arial"/>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3">
    <xf numFmtId="0" fontId="0" fillId="0" borderId="0" xfId="0"/>
    <xf numFmtId="0" fontId="4" fillId="0" borderId="0" xfId="0" applyFont="1"/>
    <xf numFmtId="0" fontId="1" fillId="0" borderId="0" xfId="0" applyFont="1"/>
    <xf numFmtId="0" fontId="2" fillId="0" borderId="0" xfId="0" applyFont="1"/>
    <xf numFmtId="0" fontId="3" fillId="0" borderId="0" xfId="0" applyFont="1"/>
    <xf numFmtId="164" fontId="0" fillId="0" borderId="0" xfId="0" applyNumberFormat="1"/>
    <xf numFmtId="0" fontId="5" fillId="0" borderId="0" xfId="0" applyFont="1"/>
    <xf numFmtId="0" fontId="6" fillId="0" borderId="0" xfId="0" applyFont="1"/>
    <xf numFmtId="164" fontId="6" fillId="0" borderId="0" xfId="0" applyNumberFormat="1" applyFont="1"/>
    <xf numFmtId="0" fontId="7" fillId="2" borderId="1" xfId="0" applyFont="1" applyFill="1" applyBorder="1" applyAlignment="1">
      <alignment horizontal="center" wrapText="1"/>
    </xf>
    <xf numFmtId="0" fontId="3" fillId="0" borderId="1" xfId="0" applyFont="1" applyBorder="1" applyAlignment="1">
      <alignment horizontal="center"/>
    </xf>
    <xf numFmtId="0" fontId="3" fillId="3" borderId="1" xfId="0" applyFont="1" applyFill="1" applyBorder="1" applyAlignment="1">
      <alignment horizontal="center"/>
    </xf>
    <xf numFmtId="165" fontId="3" fillId="0" borderId="1" xfId="0" applyNumberFormat="1" applyFont="1" applyBorder="1" applyAlignment="1">
      <alignment horizontal="center"/>
    </xf>
    <xf numFmtId="166" fontId="3" fillId="0" borderId="1" xfId="0" applyNumberFormat="1" applyFont="1" applyBorder="1" applyAlignment="1">
      <alignment horizontal="center"/>
    </xf>
    <xf numFmtId="0" fontId="4" fillId="0" borderId="1" xfId="0" applyFont="1" applyBorder="1"/>
    <xf numFmtId="0" fontId="0" fillId="0" borderId="1" xfId="0" applyBorder="1"/>
    <xf numFmtId="166" fontId="4" fillId="0" borderId="1" xfId="0" applyNumberFormat="1" applyFont="1" applyBorder="1"/>
    <xf numFmtId="0" fontId="7"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vertical="top" wrapText="1"/>
    </xf>
    <xf numFmtId="0" fontId="8" fillId="0" borderId="0" xfId="0" applyFon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B8B8B"/>
      <rgbColor rgb="FF800080"/>
      <rgbColor rgb="FF518ABD"/>
      <rgbColor rgb="FFB7B7B7"/>
      <rgbColor rgb="FF7F7F7F"/>
      <rgbColor rgb="FF90A2D3"/>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E3AB00"/>
      <rgbColor rgb="FFD36F2B"/>
      <rgbColor rgb="FF3C65AE"/>
      <rgbColor rgb="FF929292"/>
      <rgbColor rgb="FF003366"/>
      <rgbColor rgb="FF639A3F"/>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4.8 - Histogram of Age (n = 100)</a:t>
            </a:r>
          </a:p>
        </c:rich>
      </c:tx>
      <c:overlay val="0"/>
      <c:spPr>
        <a:noFill/>
        <a:ln w="0">
          <a:noFill/>
        </a:ln>
      </c:spPr>
    </c:title>
    <c:autoTitleDeleted val="0"/>
    <c:plotArea>
      <c:layout/>
      <c:barChart>
        <c:barDir val="col"/>
        <c:grouping val="clustered"/>
        <c:varyColors val="0"/>
        <c:ser>
          <c:idx val="0"/>
          <c:order val="0"/>
          <c:tx>
            <c:strRef>
              <c:f>'Age Distribution'!$C$7</c:f>
              <c:strCache>
                <c:ptCount val="1"/>
                <c:pt idx="0">
                  <c:v>Frequency f</c:v>
                </c:pt>
              </c:strCache>
            </c:strRef>
          </c:tx>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'Age Distribution'!$A$8:$A$14</c:f>
              <c:strCache>
                <c:ptCount val="7"/>
                <c:pt idx="0">
                  <c:v>30-39</c:v>
                </c:pt>
                <c:pt idx="1">
                  <c:v>40-49</c:v>
                </c:pt>
                <c:pt idx="2">
                  <c:v>50-59</c:v>
                </c:pt>
                <c:pt idx="3">
                  <c:v>60-69</c:v>
                </c:pt>
                <c:pt idx="4">
                  <c:v>70-79</c:v>
                </c:pt>
                <c:pt idx="5">
                  <c:v>80-89</c:v>
                </c:pt>
                <c:pt idx="6">
                  <c:v>90-99</c:v>
                </c:pt>
              </c:strCache>
            </c:strRef>
          </c:cat>
          <c:val>
            <c:numRef>
              <c:f>'Age Distribution'!$C$8:$C$14</c:f>
              <c:numCache>
                <c:formatCode>General</c:formatCode>
                <c:ptCount val="7"/>
                <c:pt idx="0">
                  <c:v>1</c:v>
                </c:pt>
                <c:pt idx="1">
                  <c:v>3</c:v>
                </c:pt>
                <c:pt idx="2">
                  <c:v>2</c:v>
                </c:pt>
                <c:pt idx="3">
                  <c:v>9</c:v>
                </c:pt>
                <c:pt idx="4">
                  <c:v>39</c:v>
                </c:pt>
                <c:pt idx="5">
                  <c:v>33</c:v>
                </c:pt>
                <c:pt idx="6">
                  <c:v>13</c:v>
                </c:pt>
              </c:numCache>
            </c:numRef>
          </c:val>
          <c:extLst>
            <c:ext xmlns:c16="http://schemas.microsoft.com/office/drawing/2014/chart" uri="{C3380CC4-5D6E-409C-BE32-E72D297353CC}">
              <c16:uniqueId val="{00000000-5FDC-426E-B603-E9A9D9041555}"/>
            </c:ext>
          </c:extLst>
        </c:ser>
        <c:dLbls>
          <c:showLegendKey val="0"/>
          <c:showVal val="0"/>
          <c:showCatName val="0"/>
          <c:showSerName val="0"/>
          <c:showPercent val="0"/>
          <c:showBubbleSize val="0"/>
        </c:dLbls>
        <c:gapWidth val="0"/>
        <c:axId val="35867175"/>
        <c:axId val="97394082"/>
      </c:barChart>
      <c:catAx>
        <c:axId val="3586717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Age (years)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7394082"/>
        <c:crosses val="autoZero"/>
        <c:auto val="1"/>
        <c:lblAlgn val="ctr"/>
        <c:lblOffset val="100"/>
        <c:noMultiLvlLbl val="0"/>
      </c:catAx>
      <c:valAx>
        <c:axId val="9739408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Frequency</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586717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Figure 4.9 - Frequency Polygon of Age</a:t>
            </a:r>
          </a:p>
        </c:rich>
      </c:tx>
      <c:overlay val="0"/>
      <c:spPr>
        <a:noFill/>
        <a:ln w="0">
          <a:noFill/>
        </a:ln>
      </c:spPr>
    </c:title>
    <c:autoTitleDeleted val="0"/>
    <c:plotArea>
      <c:layout/>
      <c:lineChart>
        <c:grouping val="standard"/>
        <c:varyColors val="0"/>
        <c:ser>
          <c:idx val="0"/>
          <c:order val="0"/>
          <c:tx>
            <c:strRef>
              <c:f>'Age Distribution'!$C$40</c:f>
              <c:strCache>
                <c:ptCount val="1"/>
                <c:pt idx="0">
                  <c:v>Frequency f</c:v>
                </c:pt>
              </c:strCache>
            </c:strRef>
          </c:tx>
          <c:spPr>
            <a:ln w="31680">
              <a:solidFill>
                <a:srgbClr val="4472C4"/>
              </a:solidFill>
              <a:round/>
            </a:ln>
          </c:spPr>
          <c:marker>
            <c:symbol val="circle"/>
            <c:size val="6"/>
            <c:spPr>
              <a:solidFill>
                <a:srgbClr val="4472C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'Age Distribution'!$A$41:$A$49</c:f>
              <c:numCache>
                <c:formatCode>General</c:formatCode>
                <c:ptCount val="9"/>
                <c:pt idx="0">
                  <c:v>25</c:v>
                </c:pt>
                <c:pt idx="1">
                  <c:v>35</c:v>
                </c:pt>
                <c:pt idx="2">
                  <c:v>45</c:v>
                </c:pt>
                <c:pt idx="3">
                  <c:v>55</c:v>
                </c:pt>
                <c:pt idx="4">
                  <c:v>65</c:v>
                </c:pt>
                <c:pt idx="5">
                  <c:v>75</c:v>
                </c:pt>
                <c:pt idx="6">
                  <c:v>85</c:v>
                </c:pt>
                <c:pt idx="7">
                  <c:v>95</c:v>
                </c:pt>
                <c:pt idx="8">
                  <c:v>105</c:v>
                </c:pt>
              </c:numCache>
            </c:numRef>
          </c:cat>
          <c:val>
            <c:numRef>
              <c:f>'Age Distribution'!$C$41:$C$49</c:f>
              <c:numCache>
                <c:formatCode>General</c:formatCode>
                <c:ptCount val="9"/>
                <c:pt idx="0">
                  <c:v>0</c:v>
                </c:pt>
                <c:pt idx="1">
                  <c:v>1</c:v>
                </c:pt>
                <c:pt idx="2">
                  <c:v>3</c:v>
                </c:pt>
                <c:pt idx="3">
                  <c:v>2</c:v>
                </c:pt>
                <c:pt idx="4">
                  <c:v>9</c:v>
                </c:pt>
                <c:pt idx="5">
                  <c:v>39</c:v>
                </c:pt>
                <c:pt idx="6">
                  <c:v>33</c:v>
                </c:pt>
                <c:pt idx="7">
                  <c:v>13</c:v>
                </c:pt>
                <c:pt idx="8">
                  <c:v>0</c:v>
                </c:pt>
              </c:numCache>
            </c:numRef>
          </c:val>
          <c:smooth val="0"/>
          <c:extLst>
            <c:ext xmlns:c16="http://schemas.microsoft.com/office/drawing/2014/chart" uri="{C3380CC4-5D6E-409C-BE32-E72D297353CC}">
              <c16:uniqueId val="{00000000-8398-44FE-BF0D-7A8C057129D5}"/>
            </c:ext>
          </c:extLst>
        </c:ser>
        <c:dLbls>
          <c:showLegendKey val="0"/>
          <c:showVal val="0"/>
          <c:showCatName val="0"/>
          <c:showSerName val="0"/>
          <c:showPercent val="0"/>
          <c:showBubbleSize val="0"/>
        </c:dLbls>
        <c:hiLowLines>
          <c:spPr>
            <a:ln w="0">
              <a:noFill/>
            </a:ln>
          </c:spPr>
        </c:hiLowLines>
        <c:marker val="1"/>
        <c:smooth val="0"/>
        <c:axId val="21422642"/>
        <c:axId val="30846484"/>
      </c:lineChart>
      <c:catAx>
        <c:axId val="2142264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Age (class midpoint, years)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0846484"/>
        <c:crosses val="autoZero"/>
        <c:auto val="1"/>
        <c:lblAlgn val="ctr"/>
        <c:lblOffset val="100"/>
        <c:noMultiLvlLbl val="0"/>
      </c:catAx>
      <c:valAx>
        <c:axId val="30846484"/>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Frequency</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14226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4.10 - Bar Chart of Age</a:t>
            </a:r>
          </a:p>
        </c:rich>
      </c:tx>
      <c:overlay val="0"/>
      <c:spPr>
        <a:noFill/>
        <a:ln w="0">
          <a:noFill/>
        </a:ln>
      </c:spPr>
    </c:title>
    <c:autoTitleDeleted val="0"/>
    <c:plotArea>
      <c:layout/>
      <c:barChart>
        <c:barDir val="col"/>
        <c:grouping val="clustered"/>
        <c:varyColors val="0"/>
        <c:ser>
          <c:idx val="0"/>
          <c:order val="0"/>
          <c:tx>
            <c:strRef>
              <c:f>'Age Distribution'!$C$7</c:f>
              <c:strCache>
                <c:ptCount val="1"/>
                <c:pt idx="0">
                  <c:v>Frequency f</c:v>
                </c:pt>
              </c:strCache>
            </c:strRef>
          </c:tx>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'Age Distribution'!$A$8:$A$14</c:f>
              <c:strCache>
                <c:ptCount val="7"/>
                <c:pt idx="0">
                  <c:v>30-39</c:v>
                </c:pt>
                <c:pt idx="1">
                  <c:v>40-49</c:v>
                </c:pt>
                <c:pt idx="2">
                  <c:v>50-59</c:v>
                </c:pt>
                <c:pt idx="3">
                  <c:v>60-69</c:v>
                </c:pt>
                <c:pt idx="4">
                  <c:v>70-79</c:v>
                </c:pt>
                <c:pt idx="5">
                  <c:v>80-89</c:v>
                </c:pt>
                <c:pt idx="6">
                  <c:v>90-99</c:v>
                </c:pt>
              </c:strCache>
            </c:strRef>
          </c:cat>
          <c:val>
            <c:numRef>
              <c:f>'Age Distribution'!$C$8:$C$14</c:f>
              <c:numCache>
                <c:formatCode>General</c:formatCode>
                <c:ptCount val="7"/>
                <c:pt idx="0">
                  <c:v>1</c:v>
                </c:pt>
                <c:pt idx="1">
                  <c:v>3</c:v>
                </c:pt>
                <c:pt idx="2">
                  <c:v>2</c:v>
                </c:pt>
                <c:pt idx="3">
                  <c:v>9</c:v>
                </c:pt>
                <c:pt idx="4">
                  <c:v>39</c:v>
                </c:pt>
                <c:pt idx="5">
                  <c:v>33</c:v>
                </c:pt>
                <c:pt idx="6">
                  <c:v>13</c:v>
                </c:pt>
              </c:numCache>
            </c:numRef>
          </c:val>
          <c:extLst>
            <c:ext xmlns:c16="http://schemas.microsoft.com/office/drawing/2014/chart" uri="{C3380CC4-5D6E-409C-BE32-E72D297353CC}">
              <c16:uniqueId val="{00000000-EC77-4D17-B723-3C8F598D2C19}"/>
            </c:ext>
          </c:extLst>
        </c:ser>
        <c:dLbls>
          <c:showLegendKey val="0"/>
          <c:showVal val="0"/>
          <c:showCatName val="0"/>
          <c:showSerName val="0"/>
          <c:showPercent val="0"/>
          <c:showBubbleSize val="0"/>
        </c:dLbls>
        <c:gapWidth val="150"/>
        <c:axId val="62662376"/>
        <c:axId val="23942185"/>
      </c:barChart>
      <c:catAx>
        <c:axId val="6266237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Age (years)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3942185"/>
        <c:crosses val="autoZero"/>
        <c:auto val="1"/>
        <c:lblAlgn val="ctr"/>
        <c:lblOffset val="100"/>
        <c:noMultiLvlLbl val="0"/>
      </c:catAx>
      <c:valAx>
        <c:axId val="23942185"/>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Frequency</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266237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Figure 4.11 - Pie Chart of Age</a:t>
            </a:r>
          </a:p>
        </c:rich>
      </c:tx>
      <c:overlay val="0"/>
      <c:spPr>
        <a:noFill/>
        <a:ln w="0">
          <a:noFill/>
        </a:ln>
      </c:spPr>
    </c:title>
    <c:autoTitleDeleted val="0"/>
    <c:plotArea>
      <c:layout/>
      <c:pieChart>
        <c:varyColors val="1"/>
        <c:ser>
          <c:idx val="0"/>
          <c:order val="0"/>
          <c:tx>
            <c:strRef>
              <c:f>'Age Distribution'!$E$7</c:f>
              <c:strCache>
                <c:ptCount val="1"/>
                <c:pt idx="0">
                  <c:v>Percentage (%)</c:v>
                </c:pt>
              </c:strCache>
            </c:strRef>
          </c:tx>
          <c:spPr>
            <a:solidFill>
              <a:srgbClr val="4472C4"/>
            </a:solidFill>
            <a:ln w="6480">
              <a:solidFill>
                <a:srgbClr val="FFFFFF"/>
              </a:solidFill>
              <a:round/>
            </a:ln>
          </c:spPr>
          <c:dPt>
            <c:idx val="0"/>
            <c:bubble3D val="0"/>
            <c:spPr>
              <a:solidFill>
                <a:srgbClr val="3C65AE"/>
              </a:solidFill>
              <a:ln w="6480">
                <a:solidFill>
                  <a:srgbClr val="FFFFFF"/>
                </a:solidFill>
                <a:round/>
              </a:ln>
            </c:spPr>
            <c:extLst>
              <c:ext xmlns:c16="http://schemas.microsoft.com/office/drawing/2014/chart" uri="{C3380CC4-5D6E-409C-BE32-E72D297353CC}">
                <c16:uniqueId val="{00000001-ECC1-42E5-8F33-9DA8A5411A1B}"/>
              </c:ext>
            </c:extLst>
          </c:dPt>
          <c:dPt>
            <c:idx val="1"/>
            <c:bubble3D val="0"/>
            <c:spPr>
              <a:solidFill>
                <a:srgbClr val="D36F2B"/>
              </a:solidFill>
              <a:ln w="6480">
                <a:solidFill>
                  <a:srgbClr val="FFFFFF"/>
                </a:solidFill>
                <a:round/>
              </a:ln>
            </c:spPr>
            <c:extLst>
              <c:ext xmlns:c16="http://schemas.microsoft.com/office/drawing/2014/chart" uri="{C3380CC4-5D6E-409C-BE32-E72D297353CC}">
                <c16:uniqueId val="{00000003-ECC1-42E5-8F33-9DA8A5411A1B}"/>
              </c:ext>
            </c:extLst>
          </c:dPt>
          <c:dPt>
            <c:idx val="2"/>
            <c:bubble3D val="0"/>
            <c:spPr>
              <a:solidFill>
                <a:srgbClr val="929292"/>
              </a:solidFill>
              <a:ln w="6480">
                <a:solidFill>
                  <a:srgbClr val="FFFFFF"/>
                </a:solidFill>
                <a:round/>
              </a:ln>
            </c:spPr>
            <c:extLst>
              <c:ext xmlns:c16="http://schemas.microsoft.com/office/drawing/2014/chart" uri="{C3380CC4-5D6E-409C-BE32-E72D297353CC}">
                <c16:uniqueId val="{00000005-ECC1-42E5-8F33-9DA8A5411A1B}"/>
              </c:ext>
            </c:extLst>
          </c:dPt>
          <c:dPt>
            <c:idx val="3"/>
            <c:bubble3D val="0"/>
            <c:spPr>
              <a:solidFill>
                <a:srgbClr val="E3AB00"/>
              </a:solidFill>
              <a:ln w="6480">
                <a:solidFill>
                  <a:srgbClr val="FFFFFF"/>
                </a:solidFill>
                <a:round/>
              </a:ln>
            </c:spPr>
            <c:extLst>
              <c:ext xmlns:c16="http://schemas.microsoft.com/office/drawing/2014/chart" uri="{C3380CC4-5D6E-409C-BE32-E72D297353CC}">
                <c16:uniqueId val="{00000007-ECC1-42E5-8F33-9DA8A5411A1B}"/>
              </c:ext>
            </c:extLst>
          </c:dPt>
          <c:dPt>
            <c:idx val="4"/>
            <c:bubble3D val="0"/>
            <c:spPr>
              <a:solidFill>
                <a:srgbClr val="518ABD"/>
              </a:solidFill>
              <a:ln w="6480">
                <a:solidFill>
                  <a:srgbClr val="FFFFFF"/>
                </a:solidFill>
                <a:round/>
              </a:ln>
            </c:spPr>
            <c:extLst>
              <c:ext xmlns:c16="http://schemas.microsoft.com/office/drawing/2014/chart" uri="{C3380CC4-5D6E-409C-BE32-E72D297353CC}">
                <c16:uniqueId val="{00000009-ECC1-42E5-8F33-9DA8A5411A1B}"/>
              </c:ext>
            </c:extLst>
          </c:dPt>
          <c:dPt>
            <c:idx val="5"/>
            <c:bubble3D val="0"/>
            <c:spPr>
              <a:solidFill>
                <a:srgbClr val="639A3F"/>
              </a:solidFill>
              <a:ln w="6480">
                <a:solidFill>
                  <a:srgbClr val="FFFFFF"/>
                </a:solidFill>
                <a:round/>
              </a:ln>
            </c:spPr>
            <c:extLst>
              <c:ext xmlns:c16="http://schemas.microsoft.com/office/drawing/2014/chart" uri="{C3380CC4-5D6E-409C-BE32-E72D297353CC}">
                <c16:uniqueId val="{0000000B-ECC1-42E5-8F33-9DA8A5411A1B}"/>
              </c:ext>
            </c:extLst>
          </c:dPt>
          <c:dPt>
            <c:idx val="6"/>
            <c:bubble3D val="0"/>
            <c:spPr>
              <a:solidFill>
                <a:srgbClr val="90A2D3"/>
              </a:solidFill>
              <a:ln w="6480">
                <a:solidFill>
                  <a:srgbClr val="FFFFFF"/>
                </a:solidFill>
                <a:round/>
              </a:ln>
            </c:spPr>
            <c:extLst>
              <c:ext xmlns:c16="http://schemas.microsoft.com/office/drawing/2014/chart" uri="{C3380CC4-5D6E-409C-BE32-E72D297353CC}">
                <c16:uniqueId val="{0000000D-ECC1-42E5-8F33-9DA8A5411A1B}"/>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ECC1-42E5-8F33-9DA8A5411A1B}"/>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ECC1-42E5-8F33-9DA8A5411A1B}"/>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ECC1-42E5-8F33-9DA8A5411A1B}"/>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ECC1-42E5-8F33-9DA8A5411A1B}"/>
                </c:ext>
              </c:extLst>
            </c:dLbl>
            <c:dLbl>
              <c:idx val="4"/>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ECC1-42E5-8F33-9DA8A5411A1B}"/>
                </c:ext>
              </c:extLst>
            </c:dLbl>
            <c:dLbl>
              <c:idx val="5"/>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ECC1-42E5-8F33-9DA8A5411A1B}"/>
                </c:ext>
              </c:extLst>
            </c:dLbl>
            <c:dLbl>
              <c:idx val="6"/>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D-ECC1-42E5-8F33-9DA8A5411A1B}"/>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'Age Distribution'!$A$8:$A$14</c:f>
              <c:strCache>
                <c:ptCount val="7"/>
                <c:pt idx="0">
                  <c:v>30-39</c:v>
                </c:pt>
                <c:pt idx="1">
                  <c:v>40-49</c:v>
                </c:pt>
                <c:pt idx="2">
                  <c:v>50-59</c:v>
                </c:pt>
                <c:pt idx="3">
                  <c:v>60-69</c:v>
                </c:pt>
                <c:pt idx="4">
                  <c:v>70-79</c:v>
                </c:pt>
                <c:pt idx="5">
                  <c:v>80-89</c:v>
                </c:pt>
                <c:pt idx="6">
                  <c:v>90-99</c:v>
                </c:pt>
              </c:strCache>
            </c:strRef>
          </c:cat>
          <c:val>
            <c:numRef>
              <c:f>'Age Distribution'!$E$8:$E$14</c:f>
              <c:numCache>
                <c:formatCode>0.0</c:formatCode>
                <c:ptCount val="7"/>
                <c:pt idx="0">
                  <c:v>1</c:v>
                </c:pt>
                <c:pt idx="1">
                  <c:v>3</c:v>
                </c:pt>
                <c:pt idx="2">
                  <c:v>2</c:v>
                </c:pt>
                <c:pt idx="3">
                  <c:v>9</c:v>
                </c:pt>
                <c:pt idx="4">
                  <c:v>39</c:v>
                </c:pt>
                <c:pt idx="5">
                  <c:v>33</c:v>
                </c:pt>
                <c:pt idx="6">
                  <c:v>13</c:v>
                </c:pt>
              </c:numCache>
            </c:numRef>
          </c:val>
          <c:extLst>
            <c:ext xmlns:c16="http://schemas.microsoft.com/office/drawing/2014/chart" uri="{C3380CC4-5D6E-409C-BE32-E72D297353CC}">
              <c16:uniqueId val="{0000000E-ECC1-42E5-8F33-9DA8A5411A1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Figure 4.12 - Age vs. Length of Stay (LOS)</a:t>
            </a:r>
          </a:p>
        </c:rich>
      </c:tx>
      <c:overlay val="0"/>
      <c:spPr>
        <a:noFill/>
        <a:ln w="0">
          <a:noFill/>
        </a:ln>
      </c:spPr>
    </c:title>
    <c:autoTitleDeleted val="0"/>
    <c:plotArea>
      <c:layout/>
      <c:scatterChart>
        <c:scatterStyle val="lineMarker"/>
        <c:varyColors val="0"/>
        <c:ser>
          <c:idx val="0"/>
          <c:order val="0"/>
          <c:tx>
            <c:v>Age vs LOS</c:v>
          </c:tx>
          <c:spPr>
            <a:ln w="31680">
              <a:noFill/>
            </a:ln>
          </c:spPr>
          <c:marker>
            <c:symbol val="circle"/>
            <c:size val="6"/>
            <c:spPr>
              <a:solidFill>
                <a:srgbClr val="4472C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'Age vs LOS'!$A$5:$A$104</c:f>
              <c:numCache>
                <c:formatCode>General</c:formatCode>
                <c:ptCount val="100"/>
                <c:pt idx="0">
                  <c:v>46</c:v>
                </c:pt>
                <c:pt idx="1">
                  <c:v>87</c:v>
                </c:pt>
                <c:pt idx="2">
                  <c:v>70</c:v>
                </c:pt>
                <c:pt idx="3">
                  <c:v>72</c:v>
                </c:pt>
                <c:pt idx="4">
                  <c:v>82</c:v>
                </c:pt>
                <c:pt idx="5">
                  <c:v>85</c:v>
                </c:pt>
                <c:pt idx="6">
                  <c:v>73</c:v>
                </c:pt>
                <c:pt idx="7">
                  <c:v>65</c:v>
                </c:pt>
                <c:pt idx="8">
                  <c:v>73</c:v>
                </c:pt>
                <c:pt idx="9">
                  <c:v>94</c:v>
                </c:pt>
                <c:pt idx="10">
                  <c:v>94</c:v>
                </c:pt>
                <c:pt idx="11">
                  <c:v>79</c:v>
                </c:pt>
                <c:pt idx="12">
                  <c:v>82</c:v>
                </c:pt>
                <c:pt idx="13">
                  <c:v>76</c:v>
                </c:pt>
                <c:pt idx="14">
                  <c:v>72</c:v>
                </c:pt>
                <c:pt idx="15">
                  <c:v>91</c:v>
                </c:pt>
                <c:pt idx="16">
                  <c:v>90</c:v>
                </c:pt>
                <c:pt idx="17">
                  <c:v>83</c:v>
                </c:pt>
                <c:pt idx="18">
                  <c:v>82</c:v>
                </c:pt>
                <c:pt idx="19">
                  <c:v>49</c:v>
                </c:pt>
                <c:pt idx="20">
                  <c:v>88</c:v>
                </c:pt>
                <c:pt idx="21">
                  <c:v>75</c:v>
                </c:pt>
                <c:pt idx="22">
                  <c:v>81</c:v>
                </c:pt>
                <c:pt idx="23">
                  <c:v>76</c:v>
                </c:pt>
                <c:pt idx="24">
                  <c:v>85</c:v>
                </c:pt>
                <c:pt idx="25">
                  <c:v>84</c:v>
                </c:pt>
                <c:pt idx="26">
                  <c:v>77</c:v>
                </c:pt>
                <c:pt idx="27">
                  <c:v>94</c:v>
                </c:pt>
                <c:pt idx="28">
                  <c:v>66</c:v>
                </c:pt>
                <c:pt idx="29">
                  <c:v>72</c:v>
                </c:pt>
                <c:pt idx="30">
                  <c:v>78</c:v>
                </c:pt>
                <c:pt idx="31">
                  <c:v>86</c:v>
                </c:pt>
                <c:pt idx="32">
                  <c:v>70</c:v>
                </c:pt>
                <c:pt idx="33">
                  <c:v>72</c:v>
                </c:pt>
                <c:pt idx="34">
                  <c:v>91</c:v>
                </c:pt>
                <c:pt idx="35">
                  <c:v>75</c:v>
                </c:pt>
                <c:pt idx="36">
                  <c:v>83</c:v>
                </c:pt>
                <c:pt idx="37">
                  <c:v>82</c:v>
                </c:pt>
                <c:pt idx="38">
                  <c:v>82</c:v>
                </c:pt>
                <c:pt idx="39">
                  <c:v>92</c:v>
                </c:pt>
                <c:pt idx="40">
                  <c:v>79</c:v>
                </c:pt>
                <c:pt idx="41">
                  <c:v>69</c:v>
                </c:pt>
                <c:pt idx="42">
                  <c:v>76</c:v>
                </c:pt>
                <c:pt idx="43">
                  <c:v>73</c:v>
                </c:pt>
                <c:pt idx="44">
                  <c:v>83</c:v>
                </c:pt>
                <c:pt idx="45">
                  <c:v>80</c:v>
                </c:pt>
                <c:pt idx="46">
                  <c:v>76</c:v>
                </c:pt>
                <c:pt idx="47">
                  <c:v>77</c:v>
                </c:pt>
                <c:pt idx="48">
                  <c:v>85</c:v>
                </c:pt>
                <c:pt idx="49">
                  <c:v>70</c:v>
                </c:pt>
                <c:pt idx="50">
                  <c:v>81</c:v>
                </c:pt>
                <c:pt idx="51">
                  <c:v>83</c:v>
                </c:pt>
                <c:pt idx="52">
                  <c:v>76</c:v>
                </c:pt>
                <c:pt idx="53">
                  <c:v>88</c:v>
                </c:pt>
                <c:pt idx="54">
                  <c:v>88</c:v>
                </c:pt>
                <c:pt idx="55">
                  <c:v>89</c:v>
                </c:pt>
                <c:pt idx="56">
                  <c:v>39</c:v>
                </c:pt>
                <c:pt idx="57">
                  <c:v>89</c:v>
                </c:pt>
                <c:pt idx="58">
                  <c:v>80</c:v>
                </c:pt>
                <c:pt idx="59">
                  <c:v>71</c:v>
                </c:pt>
                <c:pt idx="60">
                  <c:v>90</c:v>
                </c:pt>
                <c:pt idx="61">
                  <c:v>91</c:v>
                </c:pt>
                <c:pt idx="62">
                  <c:v>73</c:v>
                </c:pt>
                <c:pt idx="63">
                  <c:v>77</c:v>
                </c:pt>
                <c:pt idx="64">
                  <c:v>78</c:v>
                </c:pt>
                <c:pt idx="65">
                  <c:v>79</c:v>
                </c:pt>
                <c:pt idx="66">
                  <c:v>85</c:v>
                </c:pt>
                <c:pt idx="67">
                  <c:v>74</c:v>
                </c:pt>
                <c:pt idx="68">
                  <c:v>78</c:v>
                </c:pt>
                <c:pt idx="69">
                  <c:v>92</c:v>
                </c:pt>
                <c:pt idx="70">
                  <c:v>56</c:v>
                </c:pt>
                <c:pt idx="71">
                  <c:v>76</c:v>
                </c:pt>
                <c:pt idx="72">
                  <c:v>84</c:v>
                </c:pt>
                <c:pt idx="73">
                  <c:v>75</c:v>
                </c:pt>
                <c:pt idx="74">
                  <c:v>68</c:v>
                </c:pt>
                <c:pt idx="75">
                  <c:v>50</c:v>
                </c:pt>
                <c:pt idx="76">
                  <c:v>49</c:v>
                </c:pt>
                <c:pt idx="77">
                  <c:v>76</c:v>
                </c:pt>
                <c:pt idx="78">
                  <c:v>76</c:v>
                </c:pt>
                <c:pt idx="79">
                  <c:v>67</c:v>
                </c:pt>
                <c:pt idx="80">
                  <c:v>96</c:v>
                </c:pt>
                <c:pt idx="81">
                  <c:v>83</c:v>
                </c:pt>
                <c:pt idx="82">
                  <c:v>77</c:v>
                </c:pt>
                <c:pt idx="83">
                  <c:v>86</c:v>
                </c:pt>
                <c:pt idx="84">
                  <c:v>80</c:v>
                </c:pt>
                <c:pt idx="85">
                  <c:v>61</c:v>
                </c:pt>
                <c:pt idx="86">
                  <c:v>80</c:v>
                </c:pt>
                <c:pt idx="87">
                  <c:v>78</c:v>
                </c:pt>
                <c:pt idx="88">
                  <c:v>71</c:v>
                </c:pt>
                <c:pt idx="89">
                  <c:v>90</c:v>
                </c:pt>
                <c:pt idx="90">
                  <c:v>91</c:v>
                </c:pt>
                <c:pt idx="91">
                  <c:v>69</c:v>
                </c:pt>
                <c:pt idx="92">
                  <c:v>88</c:v>
                </c:pt>
                <c:pt idx="93">
                  <c:v>76</c:v>
                </c:pt>
                <c:pt idx="94">
                  <c:v>83</c:v>
                </c:pt>
                <c:pt idx="95">
                  <c:v>75</c:v>
                </c:pt>
                <c:pt idx="96">
                  <c:v>83</c:v>
                </c:pt>
                <c:pt idx="97">
                  <c:v>68</c:v>
                </c:pt>
                <c:pt idx="98">
                  <c:v>75</c:v>
                </c:pt>
                <c:pt idx="99">
                  <c:v>60</c:v>
                </c:pt>
              </c:numCache>
            </c:numRef>
          </c:xVal>
          <c:yVal>
            <c:numRef>
              <c:f>'Age vs LOS'!$B$5:$B$104</c:f>
              <c:numCache>
                <c:formatCode>General</c:formatCode>
                <c:ptCount val="100"/>
                <c:pt idx="0">
                  <c:v>4</c:v>
                </c:pt>
                <c:pt idx="1">
                  <c:v>8</c:v>
                </c:pt>
                <c:pt idx="2">
                  <c:v>10</c:v>
                </c:pt>
                <c:pt idx="3">
                  <c:v>5</c:v>
                </c:pt>
                <c:pt idx="4">
                  <c:v>3</c:v>
                </c:pt>
                <c:pt idx="5">
                  <c:v>2</c:v>
                </c:pt>
                <c:pt idx="6">
                  <c:v>5</c:v>
                </c:pt>
                <c:pt idx="7">
                  <c:v>6</c:v>
                </c:pt>
                <c:pt idx="8">
                  <c:v>6</c:v>
                </c:pt>
                <c:pt idx="9">
                  <c:v>14</c:v>
                </c:pt>
                <c:pt idx="10">
                  <c:v>11</c:v>
                </c:pt>
                <c:pt idx="11">
                  <c:v>5</c:v>
                </c:pt>
                <c:pt idx="12">
                  <c:v>6</c:v>
                </c:pt>
                <c:pt idx="13">
                  <c:v>3</c:v>
                </c:pt>
                <c:pt idx="14">
                  <c:v>3</c:v>
                </c:pt>
                <c:pt idx="15">
                  <c:v>7</c:v>
                </c:pt>
                <c:pt idx="16">
                  <c:v>6</c:v>
                </c:pt>
                <c:pt idx="17">
                  <c:v>3</c:v>
                </c:pt>
                <c:pt idx="18">
                  <c:v>11</c:v>
                </c:pt>
                <c:pt idx="19">
                  <c:v>2</c:v>
                </c:pt>
                <c:pt idx="20">
                  <c:v>2</c:v>
                </c:pt>
                <c:pt idx="21">
                  <c:v>2</c:v>
                </c:pt>
                <c:pt idx="22">
                  <c:v>7</c:v>
                </c:pt>
                <c:pt idx="23">
                  <c:v>4</c:v>
                </c:pt>
                <c:pt idx="24">
                  <c:v>10</c:v>
                </c:pt>
                <c:pt idx="25">
                  <c:v>6</c:v>
                </c:pt>
                <c:pt idx="26">
                  <c:v>3</c:v>
                </c:pt>
                <c:pt idx="27">
                  <c:v>6</c:v>
                </c:pt>
                <c:pt idx="28">
                  <c:v>6</c:v>
                </c:pt>
                <c:pt idx="29">
                  <c:v>1</c:v>
                </c:pt>
                <c:pt idx="30">
                  <c:v>3</c:v>
                </c:pt>
                <c:pt idx="31">
                  <c:v>3</c:v>
                </c:pt>
                <c:pt idx="32">
                  <c:v>5</c:v>
                </c:pt>
                <c:pt idx="33">
                  <c:v>5</c:v>
                </c:pt>
                <c:pt idx="34">
                  <c:v>3</c:v>
                </c:pt>
                <c:pt idx="35">
                  <c:v>2</c:v>
                </c:pt>
                <c:pt idx="36">
                  <c:v>6</c:v>
                </c:pt>
                <c:pt idx="37">
                  <c:v>1</c:v>
                </c:pt>
                <c:pt idx="38">
                  <c:v>10</c:v>
                </c:pt>
                <c:pt idx="39">
                  <c:v>2</c:v>
                </c:pt>
                <c:pt idx="40">
                  <c:v>2</c:v>
                </c:pt>
                <c:pt idx="41">
                  <c:v>2</c:v>
                </c:pt>
                <c:pt idx="42">
                  <c:v>3</c:v>
                </c:pt>
                <c:pt idx="43">
                  <c:v>2</c:v>
                </c:pt>
                <c:pt idx="44">
                  <c:v>6</c:v>
                </c:pt>
                <c:pt idx="45">
                  <c:v>4</c:v>
                </c:pt>
                <c:pt idx="46">
                  <c:v>10</c:v>
                </c:pt>
                <c:pt idx="47">
                  <c:v>7</c:v>
                </c:pt>
                <c:pt idx="48">
                  <c:v>4</c:v>
                </c:pt>
                <c:pt idx="49">
                  <c:v>1</c:v>
                </c:pt>
                <c:pt idx="50">
                  <c:v>2</c:v>
                </c:pt>
                <c:pt idx="51">
                  <c:v>9</c:v>
                </c:pt>
                <c:pt idx="52">
                  <c:v>2</c:v>
                </c:pt>
                <c:pt idx="53">
                  <c:v>3</c:v>
                </c:pt>
                <c:pt idx="54">
                  <c:v>4</c:v>
                </c:pt>
                <c:pt idx="55">
                  <c:v>2</c:v>
                </c:pt>
                <c:pt idx="56">
                  <c:v>1</c:v>
                </c:pt>
                <c:pt idx="57">
                  <c:v>5</c:v>
                </c:pt>
                <c:pt idx="58">
                  <c:v>12</c:v>
                </c:pt>
                <c:pt idx="59">
                  <c:v>7</c:v>
                </c:pt>
                <c:pt idx="60">
                  <c:v>4</c:v>
                </c:pt>
                <c:pt idx="61">
                  <c:v>4</c:v>
                </c:pt>
                <c:pt idx="62">
                  <c:v>1</c:v>
                </c:pt>
                <c:pt idx="63">
                  <c:v>7</c:v>
                </c:pt>
                <c:pt idx="64">
                  <c:v>2</c:v>
                </c:pt>
                <c:pt idx="65">
                  <c:v>4</c:v>
                </c:pt>
                <c:pt idx="66">
                  <c:v>14</c:v>
                </c:pt>
                <c:pt idx="67">
                  <c:v>1</c:v>
                </c:pt>
                <c:pt idx="68">
                  <c:v>10</c:v>
                </c:pt>
                <c:pt idx="69">
                  <c:v>2</c:v>
                </c:pt>
                <c:pt idx="70">
                  <c:v>1</c:v>
                </c:pt>
                <c:pt idx="71">
                  <c:v>2</c:v>
                </c:pt>
                <c:pt idx="72">
                  <c:v>10</c:v>
                </c:pt>
                <c:pt idx="73">
                  <c:v>3</c:v>
                </c:pt>
                <c:pt idx="74">
                  <c:v>7</c:v>
                </c:pt>
                <c:pt idx="75">
                  <c:v>2</c:v>
                </c:pt>
                <c:pt idx="76">
                  <c:v>9</c:v>
                </c:pt>
                <c:pt idx="77">
                  <c:v>3</c:v>
                </c:pt>
                <c:pt idx="78">
                  <c:v>3</c:v>
                </c:pt>
                <c:pt idx="79">
                  <c:v>2</c:v>
                </c:pt>
                <c:pt idx="80">
                  <c:v>11</c:v>
                </c:pt>
                <c:pt idx="81">
                  <c:v>16</c:v>
                </c:pt>
                <c:pt idx="82">
                  <c:v>3</c:v>
                </c:pt>
                <c:pt idx="83">
                  <c:v>5</c:v>
                </c:pt>
                <c:pt idx="84">
                  <c:v>1</c:v>
                </c:pt>
                <c:pt idx="85">
                  <c:v>8</c:v>
                </c:pt>
                <c:pt idx="86">
                  <c:v>5</c:v>
                </c:pt>
                <c:pt idx="87">
                  <c:v>2</c:v>
                </c:pt>
                <c:pt idx="88">
                  <c:v>10</c:v>
                </c:pt>
                <c:pt idx="89">
                  <c:v>9</c:v>
                </c:pt>
                <c:pt idx="90">
                  <c:v>7</c:v>
                </c:pt>
                <c:pt idx="91">
                  <c:v>4</c:v>
                </c:pt>
                <c:pt idx="92">
                  <c:v>5</c:v>
                </c:pt>
                <c:pt idx="93">
                  <c:v>2</c:v>
                </c:pt>
                <c:pt idx="94">
                  <c:v>5</c:v>
                </c:pt>
                <c:pt idx="95">
                  <c:v>3</c:v>
                </c:pt>
                <c:pt idx="96">
                  <c:v>7</c:v>
                </c:pt>
                <c:pt idx="97">
                  <c:v>9</c:v>
                </c:pt>
                <c:pt idx="98">
                  <c:v>7</c:v>
                </c:pt>
                <c:pt idx="99">
                  <c:v>5</c:v>
                </c:pt>
              </c:numCache>
            </c:numRef>
          </c:yVal>
          <c:smooth val="1"/>
          <c:extLst>
            <c:ext xmlns:c16="http://schemas.microsoft.com/office/drawing/2014/chart" uri="{C3380CC4-5D6E-409C-BE32-E72D297353CC}">
              <c16:uniqueId val="{00000000-C806-4BB4-B3B2-C7988B0C5BBB}"/>
            </c:ext>
          </c:extLst>
        </c:ser>
        <c:dLbls>
          <c:showLegendKey val="0"/>
          <c:showVal val="0"/>
          <c:showCatName val="0"/>
          <c:showSerName val="0"/>
          <c:showPercent val="0"/>
          <c:showBubbleSize val="0"/>
        </c:dLbls>
        <c:axId val="54421191"/>
        <c:axId val="48460719"/>
      </c:scatterChart>
      <c:valAx>
        <c:axId val="54421191"/>
        <c:scaling>
          <c:orientation val="minMax"/>
        </c:scaling>
        <c:delete val="0"/>
        <c:axPos val="b"/>
        <c:majorGridlines>
          <c:spPr>
            <a:ln w="6480">
              <a:solidFill>
                <a:srgbClr val="8B8B8B"/>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Age (years)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8460719"/>
        <c:crosses val="autoZero"/>
        <c:crossBetween val="midCat"/>
      </c:valAx>
      <c:valAx>
        <c:axId val="48460719"/>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Length of Stay (days)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442119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25200</xdr:rowOff>
    </xdr:from>
    <xdr:to>
      <xdr:col>5</xdr:col>
      <xdr:colOff>966240</xdr:colOff>
      <xdr:row>33</xdr:row>
      <xdr:rowOff>47160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50</xdr:row>
      <xdr:rowOff>25560</xdr:rowOff>
    </xdr:from>
    <xdr:to>
      <xdr:col>5</xdr:col>
      <xdr:colOff>966240</xdr:colOff>
      <xdr:row>65</xdr:row>
      <xdr:rowOff>47520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18</xdr:row>
      <xdr:rowOff>25200</xdr:rowOff>
    </xdr:from>
    <xdr:to>
      <xdr:col>16</xdr:col>
      <xdr:colOff>255960</xdr:colOff>
      <xdr:row>33</xdr:row>
      <xdr:rowOff>47160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50</xdr:row>
      <xdr:rowOff>25560</xdr:rowOff>
    </xdr:from>
    <xdr:to>
      <xdr:col>16</xdr:col>
      <xdr:colOff>255960</xdr:colOff>
      <xdr:row>65</xdr:row>
      <xdr:rowOff>47520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176040</xdr:rowOff>
    </xdr:from>
    <xdr:to>
      <xdr:col>14</xdr:col>
      <xdr:colOff>472680</xdr:colOff>
      <xdr:row>25</xdr:row>
      <xdr:rowOff>113760</xdr:rowOff>
    </xdr:to>
    <xdr:graphicFrame macro="">
      <xdr:nvGraphicFramePr>
        <xdr:cNvPr id="4" name="Char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Sinha" refreshedDate="46277.733324189816" createdVersion="8" refreshedVersion="8" minRefreshableVersion="3" recordCount="100" xr:uid="{7205FCF1-19D5-44A9-9DFE-0A6F5658CAF0}">
  <cacheSource type="worksheet">
    <worksheetSource ref="A1:K101" sheet="Hospital charges"/>
  </cacheSource>
  <cacheFields count="11">
    <cacheField name="ID" numFmtId="0">
      <sharedItems containsSemiMixedTypes="0" containsString="0" containsNumber="1" containsInteger="1" minValue="1" maxValue="100"/>
    </cacheField>
    <cacheField name="Sex" numFmtId="0">
      <sharedItems count="2">
        <s v="F"/>
        <s v="M"/>
      </sharedItems>
    </cacheField>
    <cacheField name="Sex1" numFmtId="0">
      <sharedItems containsSemiMixedTypes="0" containsString="0" containsNumber="1" containsInteger="1" minValue="0" maxValue="1"/>
    </cacheField>
    <cacheField name="Age" numFmtId="0">
      <sharedItems containsSemiMixedTypes="0" containsString="0" containsNumber="1" containsInteger="1" minValue="39" maxValue="96"/>
    </cacheField>
    <cacheField name="LOS" numFmtId="0">
      <sharedItems containsSemiMixedTypes="0" containsString="0" containsNumber="1" containsInteger="1" minValue="1" maxValue="16"/>
    </cacheField>
    <cacheField name="LOS1" numFmtId="0">
      <sharedItems count="3">
        <s v="Medium"/>
        <s v="Long"/>
        <s v="Short"/>
      </sharedItems>
    </cacheField>
    <cacheField name="DRG" numFmtId="0">
      <sharedItems containsSemiMixedTypes="0" containsString="0" containsNumber="1" containsInteger="1" minValue="14" maxValue="493"/>
    </cacheField>
    <cacheField name="Charges" numFmtId="164">
      <sharedItems containsSemiMixedTypes="0" containsString="0" containsNumber="1" minValue="707.7" maxValue="19708.11"/>
    </cacheField>
    <cacheField name="Medicare" numFmtId="164">
      <sharedItems containsSemiMixedTypes="0" containsString="0" containsNumber="1" minValue="392" maxValue="12772.75"/>
    </cacheField>
    <cacheField name="Diag" numFmtId="0">
      <sharedItems containsSemiMixedTypes="0" containsString="0" containsNumber="1" containsInteger="1" minValue="1" maxValue="9"/>
    </cacheField>
    <cacheField name="ICD-9"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n v="1"/>
    <n v="46"/>
    <n v="4"/>
    <x v="0"/>
    <n v="294"/>
    <n v="2426.48"/>
    <n v="2003.62"/>
    <n v="2"/>
    <n v="0"/>
  </r>
  <r>
    <n v="2"/>
    <x v="0"/>
    <n v="1"/>
    <n v="87"/>
    <n v="8"/>
    <x v="0"/>
    <n v="139"/>
    <n v="6815.61"/>
    <n v="1072.17"/>
    <n v="4"/>
    <n v="4"/>
  </r>
  <r>
    <n v="3"/>
    <x v="0"/>
    <n v="1"/>
    <n v="70"/>
    <n v="10"/>
    <x v="1"/>
    <n v="34"/>
    <n v="7596.68"/>
    <n v="4096.9799999999996"/>
    <n v="6"/>
    <n v="0"/>
  </r>
  <r>
    <n v="4"/>
    <x v="1"/>
    <n v="0"/>
    <n v="72"/>
    <n v="5"/>
    <x v="0"/>
    <n v="140"/>
    <n v="6450.77"/>
    <n v="1710.79"/>
    <n v="5"/>
    <n v="0"/>
  </r>
  <r>
    <n v="5"/>
    <x v="0"/>
    <n v="1"/>
    <n v="82"/>
    <n v="3"/>
    <x v="2"/>
    <n v="141"/>
    <n v="3542.79"/>
    <n v="1914.9"/>
    <n v="3"/>
    <n v="7"/>
  </r>
  <r>
    <n v="6"/>
    <x v="0"/>
    <n v="1"/>
    <n v="85"/>
    <n v="2"/>
    <x v="2"/>
    <n v="15"/>
    <n v="2590.86"/>
    <n v="2601.14"/>
    <n v="5"/>
    <n v="4"/>
  </r>
  <r>
    <n v="7"/>
    <x v="0"/>
    <n v="1"/>
    <n v="73"/>
    <n v="5"/>
    <x v="0"/>
    <n v="294"/>
    <n v="5082.83"/>
    <n v="2035.31"/>
    <n v="7"/>
    <n v="2"/>
  </r>
  <r>
    <n v="8"/>
    <x v="1"/>
    <n v="0"/>
    <n v="65"/>
    <n v="6"/>
    <x v="0"/>
    <n v="241"/>
    <n v="3580.55"/>
    <n v="2320.42"/>
    <n v="6"/>
    <n v="0"/>
  </r>
  <r>
    <n v="9"/>
    <x v="1"/>
    <n v="0"/>
    <n v="73"/>
    <n v="6"/>
    <x v="0"/>
    <n v="335"/>
    <n v="11045.79"/>
    <n v="4184.26"/>
    <n v="1"/>
    <n v="0"/>
  </r>
  <r>
    <n v="10"/>
    <x v="0"/>
    <n v="1"/>
    <n v="94"/>
    <n v="14"/>
    <x v="1"/>
    <n v="148"/>
    <n v="19708.11"/>
    <n v="12158.49"/>
    <n v="4"/>
    <n v="0"/>
  </r>
  <r>
    <n v="11"/>
    <x v="0"/>
    <n v="1"/>
    <n v="94"/>
    <n v="11"/>
    <x v="1"/>
    <n v="89"/>
    <n v="8953.3799999999992"/>
    <n v="4345.84"/>
    <n v="4"/>
    <n v="0"/>
  </r>
  <r>
    <n v="12"/>
    <x v="1"/>
    <n v="0"/>
    <n v="79"/>
    <n v="5"/>
    <x v="0"/>
    <n v="127"/>
    <n v="7000.21"/>
    <n v="3993.48"/>
    <n v="5"/>
    <n v="0"/>
  </r>
  <r>
    <n v="13"/>
    <x v="1"/>
    <n v="0"/>
    <n v="82"/>
    <n v="6"/>
    <x v="0"/>
    <n v="89"/>
    <n v="5330.24"/>
    <n v="3408.07"/>
    <n v="4"/>
    <n v="0"/>
  </r>
  <r>
    <n v="14"/>
    <x v="0"/>
    <n v="1"/>
    <n v="76"/>
    <n v="3"/>
    <x v="2"/>
    <n v="122"/>
    <n v="6864.63"/>
    <n v="3637.35"/>
    <n v="5"/>
    <n v="4"/>
  </r>
  <r>
    <n v="15"/>
    <x v="1"/>
    <n v="0"/>
    <n v="72"/>
    <n v="3"/>
    <x v="2"/>
    <n v="336"/>
    <n v="4318.13"/>
    <n v="2676.01"/>
    <n v="2"/>
    <n v="0"/>
  </r>
  <r>
    <n v="16"/>
    <x v="0"/>
    <n v="1"/>
    <n v="91"/>
    <n v="7"/>
    <x v="0"/>
    <n v="321"/>
    <n v="6424.3"/>
    <n v="1510.2"/>
    <n v="3"/>
    <n v="0"/>
  </r>
  <r>
    <n v="17"/>
    <x v="0"/>
    <n v="1"/>
    <n v="90"/>
    <n v="6"/>
    <x v="0"/>
    <n v="174"/>
    <n v="5184.53"/>
    <n v="3642.44"/>
    <n v="6"/>
    <n v="5"/>
  </r>
  <r>
    <n v="18"/>
    <x v="0"/>
    <n v="1"/>
    <n v="83"/>
    <n v="3"/>
    <x v="2"/>
    <n v="143"/>
    <n v="1871.78"/>
    <n v="1167.6500000000001"/>
    <n v="6"/>
    <n v="0"/>
  </r>
  <r>
    <n v="19"/>
    <x v="0"/>
    <n v="1"/>
    <n v="82"/>
    <n v="11"/>
    <x v="1"/>
    <n v="358"/>
    <n v="11179.97"/>
    <n v="3432.13"/>
    <n v="9"/>
    <n v="6"/>
  </r>
  <r>
    <n v="20"/>
    <x v="0"/>
    <n v="1"/>
    <n v="49"/>
    <n v="2"/>
    <x v="2"/>
    <n v="140"/>
    <n v="3405.38"/>
    <n v="1710.79"/>
    <n v="1"/>
    <n v="0"/>
  </r>
  <r>
    <n v="21"/>
    <x v="0"/>
    <n v="1"/>
    <n v="88"/>
    <n v="2"/>
    <x v="2"/>
    <n v="143"/>
    <n v="1731.73"/>
    <n v="1979.28"/>
    <n v="4"/>
    <n v="7"/>
  </r>
  <r>
    <n v="22"/>
    <x v="0"/>
    <n v="1"/>
    <n v="75"/>
    <n v="2"/>
    <x v="2"/>
    <n v="159"/>
    <n v="5384.92"/>
    <n v="3316.59"/>
    <n v="2"/>
    <n v="0"/>
  </r>
  <r>
    <n v="23"/>
    <x v="1"/>
    <n v="0"/>
    <n v="81"/>
    <n v="7"/>
    <x v="0"/>
    <n v="89"/>
    <n v="5216.91"/>
    <n v="3613.06"/>
    <n v="2"/>
    <n v="4"/>
  </r>
  <r>
    <n v="24"/>
    <x v="0"/>
    <n v="1"/>
    <n v="76"/>
    <n v="4"/>
    <x v="0"/>
    <n v="294"/>
    <n v="2489.65"/>
    <n v="2201.9299999999998"/>
    <n v="3"/>
    <n v="0"/>
  </r>
  <r>
    <n v="25"/>
    <x v="0"/>
    <n v="1"/>
    <n v="85"/>
    <n v="10"/>
    <x v="1"/>
    <n v="473"/>
    <n v="8244.25"/>
    <n v="12772.75"/>
    <n v="4"/>
    <n v="0"/>
  </r>
  <r>
    <n v="26"/>
    <x v="0"/>
    <n v="1"/>
    <n v="84"/>
    <n v="6"/>
    <x v="0"/>
    <n v="128"/>
    <n v="3548.05"/>
    <n v="2163.29"/>
    <n v="8"/>
    <n v="4"/>
  </r>
  <r>
    <n v="27"/>
    <x v="0"/>
    <n v="1"/>
    <n v="77"/>
    <n v="3"/>
    <x v="2"/>
    <n v="15"/>
    <n v="4713.26"/>
    <n v="1801.73"/>
    <n v="4"/>
    <n v="0"/>
  </r>
  <r>
    <n v="28"/>
    <x v="0"/>
    <n v="1"/>
    <n v="94"/>
    <n v="6"/>
    <x v="0"/>
    <n v="121"/>
    <n v="5804.21"/>
    <n v="5282.36"/>
    <n v="5"/>
    <n v="7"/>
  </r>
  <r>
    <n v="29"/>
    <x v="0"/>
    <n v="1"/>
    <n v="66"/>
    <n v="6"/>
    <x v="0"/>
    <n v="128"/>
    <n v="2945.22"/>
    <n v="2849.72"/>
    <n v="2"/>
    <n v="0"/>
  </r>
  <r>
    <n v="30"/>
    <x v="1"/>
    <n v="0"/>
    <n v="72"/>
    <n v="1"/>
    <x v="2"/>
    <n v="140"/>
    <n v="1035.75"/>
    <n v="1685.62"/>
    <n v="5"/>
    <n v="4"/>
  </r>
  <r>
    <n v="31"/>
    <x v="1"/>
    <n v="0"/>
    <n v="78"/>
    <n v="3"/>
    <x v="2"/>
    <n v="209"/>
    <n v="17005.45"/>
    <n v="7534.44"/>
    <n v="1"/>
    <n v="7"/>
  </r>
  <r>
    <n v="32"/>
    <x v="0"/>
    <n v="1"/>
    <n v="86"/>
    <n v="3"/>
    <x v="2"/>
    <n v="143"/>
    <n v="4637.96"/>
    <n v="1447.84"/>
    <n v="5"/>
    <n v="0"/>
  </r>
  <r>
    <n v="33"/>
    <x v="0"/>
    <n v="1"/>
    <n v="70"/>
    <n v="5"/>
    <x v="0"/>
    <n v="209"/>
    <n v="17480.97"/>
    <n v="7566.98"/>
    <n v="5"/>
    <n v="0"/>
  </r>
  <r>
    <n v="34"/>
    <x v="1"/>
    <n v="0"/>
    <n v="72"/>
    <n v="5"/>
    <x v="0"/>
    <n v="96"/>
    <n v="5029.09"/>
    <n v="3306.8"/>
    <n v="8"/>
    <n v="4"/>
  </r>
  <r>
    <n v="35"/>
    <x v="1"/>
    <n v="0"/>
    <n v="91"/>
    <n v="3"/>
    <x v="2"/>
    <n v="144"/>
    <n v="3078.99"/>
    <n v="3351.64"/>
    <n v="5"/>
    <n v="4"/>
  </r>
  <r>
    <n v="36"/>
    <x v="1"/>
    <n v="0"/>
    <n v="75"/>
    <n v="2"/>
    <x v="2"/>
    <n v="90"/>
    <n v="2146.9899999999998"/>
    <n v="1968.05"/>
    <n v="2"/>
    <n v="4"/>
  </r>
  <r>
    <n v="37"/>
    <x v="0"/>
    <n v="1"/>
    <n v="83"/>
    <n v="6"/>
    <x v="0"/>
    <n v="88"/>
    <n v="5482.93"/>
    <n v="3147.39"/>
    <n v="2"/>
    <n v="0"/>
  </r>
  <r>
    <n v="38"/>
    <x v="1"/>
    <n v="0"/>
    <n v="82"/>
    <n v="1"/>
    <x v="2"/>
    <n v="183"/>
    <n v="1078.56"/>
    <n v="1386.42"/>
    <n v="6"/>
    <n v="5"/>
  </r>
  <r>
    <n v="39"/>
    <x v="0"/>
    <n v="1"/>
    <n v="82"/>
    <n v="10"/>
    <x v="1"/>
    <n v="430"/>
    <n v="9931.2099999999991"/>
    <n v="3530"/>
    <n v="1"/>
    <n v="0"/>
  </r>
  <r>
    <n v="40"/>
    <x v="0"/>
    <n v="1"/>
    <n v="92"/>
    <n v="2"/>
    <x v="2"/>
    <n v="138"/>
    <n v="2451.69"/>
    <n v="2266.56"/>
    <n v="2"/>
    <n v="4"/>
  </r>
  <r>
    <n v="41"/>
    <x v="0"/>
    <n v="1"/>
    <n v="79"/>
    <n v="2"/>
    <x v="2"/>
    <n v="88"/>
    <n v="2834.68"/>
    <n v="3579.24"/>
    <n v="1"/>
    <n v="0"/>
  </r>
  <r>
    <n v="42"/>
    <x v="0"/>
    <n v="1"/>
    <n v="69"/>
    <n v="2"/>
    <x v="2"/>
    <n v="447"/>
    <n v="1547.81"/>
    <n v="988"/>
    <n v="3"/>
    <n v="0"/>
  </r>
  <r>
    <n v="43"/>
    <x v="0"/>
    <n v="1"/>
    <n v="76"/>
    <n v="3"/>
    <x v="2"/>
    <n v="183"/>
    <n v="1876.7"/>
    <n v="1235.8"/>
    <n v="1"/>
    <n v="0"/>
  </r>
  <r>
    <n v="44"/>
    <x v="1"/>
    <n v="0"/>
    <n v="73"/>
    <n v="2"/>
    <x v="2"/>
    <n v="140"/>
    <n v="2781.28"/>
    <n v="1483.79"/>
    <n v="4"/>
    <n v="0"/>
  </r>
  <r>
    <n v="45"/>
    <x v="0"/>
    <n v="1"/>
    <n v="83"/>
    <n v="6"/>
    <x v="0"/>
    <n v="127"/>
    <n v="6460.59"/>
    <n v="3993.48"/>
    <n v="5"/>
    <n v="0"/>
  </r>
  <r>
    <n v="46"/>
    <x v="0"/>
    <n v="1"/>
    <n v="80"/>
    <n v="4"/>
    <x v="0"/>
    <n v="444"/>
    <n v="3026.42"/>
    <n v="1918.32"/>
    <n v="1"/>
    <n v="6"/>
  </r>
  <r>
    <n v="47"/>
    <x v="0"/>
    <n v="1"/>
    <n v="76"/>
    <n v="10"/>
    <x v="1"/>
    <n v="493"/>
    <n v="14769.92"/>
    <n v="5594.68"/>
    <n v="4"/>
    <n v="5"/>
  </r>
  <r>
    <n v="48"/>
    <x v="0"/>
    <n v="1"/>
    <n v="77"/>
    <n v="7"/>
    <x v="0"/>
    <n v="324"/>
    <n v="4425.4399999999996"/>
    <n v="1531.55"/>
    <n v="5"/>
    <n v="5"/>
  </r>
  <r>
    <n v="49"/>
    <x v="0"/>
    <n v="1"/>
    <n v="85"/>
    <n v="4"/>
    <x v="0"/>
    <n v="140"/>
    <n v="5151.5200000000004"/>
    <n v="1710.79"/>
    <n v="5"/>
    <n v="0"/>
  </r>
  <r>
    <n v="50"/>
    <x v="0"/>
    <n v="1"/>
    <n v="70"/>
    <n v="1"/>
    <x v="2"/>
    <n v="140"/>
    <n v="2404.39"/>
    <n v="735.58"/>
    <n v="1"/>
    <n v="4"/>
  </r>
  <r>
    <n v="51"/>
    <x v="1"/>
    <n v="0"/>
    <n v="81"/>
    <n v="2"/>
    <x v="2"/>
    <n v="140"/>
    <n v="5019.8599999999997"/>
    <n v="1730.79"/>
    <n v="2"/>
    <n v="0"/>
  </r>
  <r>
    <n v="52"/>
    <x v="0"/>
    <n v="1"/>
    <n v="83"/>
    <n v="9"/>
    <x v="0"/>
    <n v="138"/>
    <n v="10421.01"/>
    <n v="2384.12"/>
    <n v="5"/>
    <n v="0"/>
  </r>
  <r>
    <n v="53"/>
    <x v="1"/>
    <n v="0"/>
    <n v="76"/>
    <n v="2"/>
    <x v="2"/>
    <n v="269"/>
    <n v="4860.83"/>
    <n v="5688.67"/>
    <n v="4"/>
    <n v="1"/>
  </r>
  <r>
    <n v="54"/>
    <x v="0"/>
    <n v="1"/>
    <n v="88"/>
    <n v="3"/>
    <x v="2"/>
    <n v="140"/>
    <n v="2694.11"/>
    <n v="1564.5"/>
    <n v="2"/>
    <n v="0"/>
  </r>
  <r>
    <n v="55"/>
    <x v="1"/>
    <n v="0"/>
    <n v="88"/>
    <n v="4"/>
    <x v="0"/>
    <n v="208"/>
    <n v="2421.63"/>
    <n v="1346.94"/>
    <n v="2"/>
    <n v="0"/>
  </r>
  <r>
    <n v="56"/>
    <x v="0"/>
    <n v="1"/>
    <n v="89"/>
    <n v="2"/>
    <x v="2"/>
    <n v="15"/>
    <n v="3311.66"/>
    <n v="2065.4899999999998"/>
    <n v="3"/>
    <n v="0"/>
  </r>
  <r>
    <n v="57"/>
    <x v="1"/>
    <n v="0"/>
    <n v="39"/>
    <n v="1"/>
    <x v="2"/>
    <n v="434"/>
    <n v="1596.91"/>
    <n v="392"/>
    <n v="5"/>
    <n v="3"/>
  </r>
  <r>
    <n v="58"/>
    <x v="0"/>
    <n v="1"/>
    <n v="89"/>
    <n v="5"/>
    <x v="0"/>
    <n v="88"/>
    <n v="5399.67"/>
    <n v="3048.91"/>
    <n v="4"/>
    <n v="4"/>
  </r>
  <r>
    <n v="59"/>
    <x v="1"/>
    <n v="0"/>
    <n v="80"/>
    <n v="12"/>
    <x v="1"/>
    <n v="78"/>
    <n v="17605.59"/>
    <n v="4432.93"/>
    <n v="9"/>
    <n v="7"/>
  </r>
  <r>
    <n v="60"/>
    <x v="0"/>
    <n v="1"/>
    <n v="71"/>
    <n v="7"/>
    <x v="0"/>
    <n v="89"/>
    <n v="11098.7"/>
    <n v="4256.7"/>
    <n v="3"/>
    <n v="4"/>
  </r>
  <r>
    <n v="61"/>
    <x v="0"/>
    <n v="1"/>
    <n v="90"/>
    <n v="4"/>
    <x v="0"/>
    <n v="89"/>
    <n v="3674.03"/>
    <n v="3609.84"/>
    <n v="3"/>
    <n v="0"/>
  </r>
  <r>
    <n v="62"/>
    <x v="1"/>
    <n v="0"/>
    <n v="91"/>
    <n v="4"/>
    <x v="0"/>
    <n v="316"/>
    <n v="3720.09"/>
    <n v="4269.96"/>
    <n v="6"/>
    <n v="2"/>
  </r>
  <r>
    <n v="63"/>
    <x v="0"/>
    <n v="1"/>
    <n v="73"/>
    <n v="1"/>
    <x v="2"/>
    <n v="140"/>
    <n v="2472.64"/>
    <n v="2356.0500000000002"/>
    <n v="4"/>
    <n v="0"/>
  </r>
  <r>
    <n v="64"/>
    <x v="0"/>
    <n v="1"/>
    <n v="77"/>
    <n v="7"/>
    <x v="0"/>
    <n v="166"/>
    <n v="7792.24"/>
    <n v="4538.13"/>
    <n v="1"/>
    <n v="5"/>
  </r>
  <r>
    <n v="65"/>
    <x v="0"/>
    <n v="1"/>
    <n v="78"/>
    <n v="2"/>
    <x v="2"/>
    <n v="175"/>
    <n v="3489.88"/>
    <n v="1430.32"/>
    <n v="3"/>
    <n v="5"/>
  </r>
  <r>
    <n v="66"/>
    <x v="0"/>
    <n v="1"/>
    <n v="79"/>
    <n v="4"/>
    <x v="0"/>
    <n v="203"/>
    <n v="4655.83"/>
    <n v="3965.21"/>
    <n v="9"/>
    <n v="6"/>
  </r>
  <r>
    <n v="67"/>
    <x v="0"/>
    <n v="1"/>
    <n v="85"/>
    <n v="14"/>
    <x v="1"/>
    <n v="87"/>
    <n v="10242.5"/>
    <n v="4531.6499999999996"/>
    <n v="6"/>
    <n v="0"/>
  </r>
  <r>
    <n v="68"/>
    <x v="0"/>
    <n v="1"/>
    <n v="74"/>
    <n v="1"/>
    <x v="2"/>
    <n v="296"/>
    <n v="1599.82"/>
    <n v="2628.95"/>
    <n v="3"/>
    <n v="0"/>
  </r>
  <r>
    <n v="69"/>
    <x v="1"/>
    <n v="0"/>
    <n v="78"/>
    <n v="10"/>
    <x v="1"/>
    <n v="294"/>
    <n v="6015.34"/>
    <n v="2003.62"/>
    <n v="5"/>
    <n v="0"/>
  </r>
  <r>
    <n v="70"/>
    <x v="0"/>
    <n v="1"/>
    <n v="92"/>
    <n v="2"/>
    <x v="2"/>
    <n v="127"/>
    <n v="1905.65"/>
    <n v="3993.48"/>
    <n v="5"/>
    <n v="0"/>
  </r>
  <r>
    <n v="71"/>
    <x v="1"/>
    <n v="0"/>
    <n v="56"/>
    <n v="1"/>
    <x v="2"/>
    <n v="294"/>
    <n v="707.7"/>
    <n v="2102.0100000000002"/>
    <n v="3"/>
    <n v="2"/>
  </r>
  <r>
    <n v="72"/>
    <x v="1"/>
    <n v="0"/>
    <n v="76"/>
    <n v="2"/>
    <x v="2"/>
    <n v="183"/>
    <n v="3004.67"/>
    <n v="1423.87"/>
    <n v="4"/>
    <n v="5"/>
  </r>
  <r>
    <n v="73"/>
    <x v="0"/>
    <n v="1"/>
    <n v="84"/>
    <n v="10"/>
    <x v="1"/>
    <n v="197"/>
    <n v="18290.04"/>
    <n v="6862.34"/>
    <n v="5"/>
    <n v="0"/>
  </r>
  <r>
    <n v="74"/>
    <x v="0"/>
    <n v="1"/>
    <n v="75"/>
    <n v="3"/>
    <x v="2"/>
    <n v="132"/>
    <n v="5621.92"/>
    <n v="1772.78"/>
    <n v="5"/>
    <n v="7"/>
  </r>
  <r>
    <n v="75"/>
    <x v="0"/>
    <n v="1"/>
    <n v="68"/>
    <n v="7"/>
    <x v="0"/>
    <n v="240"/>
    <n v="5547.71"/>
    <n v="4565.4799999999996"/>
    <n v="5"/>
    <n v="7"/>
  </r>
  <r>
    <n v="76"/>
    <x v="1"/>
    <n v="0"/>
    <n v="50"/>
    <n v="2"/>
    <x v="2"/>
    <n v="182"/>
    <n v="2581.7199999999998"/>
    <n v="2238.61"/>
    <n v="3"/>
    <n v="5"/>
  </r>
  <r>
    <n v="77"/>
    <x v="1"/>
    <n v="0"/>
    <n v="49"/>
    <n v="9"/>
    <x v="0"/>
    <n v="436"/>
    <n v="7024.64"/>
    <n v="2441"/>
    <n v="5"/>
    <n v="0"/>
  </r>
  <r>
    <n v="78"/>
    <x v="1"/>
    <n v="0"/>
    <n v="76"/>
    <n v="3"/>
    <x v="2"/>
    <n v="175"/>
    <n v="4242.1000000000004"/>
    <n v="1344.35"/>
    <n v="4"/>
    <n v="5"/>
  </r>
  <r>
    <n v="79"/>
    <x v="1"/>
    <n v="0"/>
    <n v="76"/>
    <n v="3"/>
    <x v="2"/>
    <n v="207"/>
    <n v="4286.8999999999996"/>
    <n v="3045.51"/>
    <n v="2"/>
    <n v="5"/>
  </r>
  <r>
    <n v="80"/>
    <x v="0"/>
    <n v="1"/>
    <n v="67"/>
    <n v="2"/>
    <x v="2"/>
    <n v="359"/>
    <n v="12313.78"/>
    <n v="2393.04"/>
    <n v="3"/>
    <n v="0"/>
  </r>
  <r>
    <n v="81"/>
    <x v="1"/>
    <n v="0"/>
    <n v="96"/>
    <n v="11"/>
    <x v="1"/>
    <n v="79"/>
    <n v="8217.27"/>
    <n v="5462.63"/>
    <n v="4"/>
    <n v="0"/>
  </r>
  <r>
    <n v="82"/>
    <x v="0"/>
    <n v="1"/>
    <n v="83"/>
    <n v="16"/>
    <x v="1"/>
    <n v="127"/>
    <n v="10655.8"/>
    <n v="3277.48"/>
    <n v="5"/>
    <n v="0"/>
  </r>
  <r>
    <n v="83"/>
    <x v="0"/>
    <n v="1"/>
    <n v="77"/>
    <n v="3"/>
    <x v="2"/>
    <n v="182"/>
    <n v="3620.78"/>
    <n v="2064.4299999999998"/>
    <n v="5"/>
    <n v="5"/>
  </r>
  <r>
    <n v="84"/>
    <x v="1"/>
    <n v="0"/>
    <n v="86"/>
    <n v="5"/>
    <x v="0"/>
    <n v="346"/>
    <n v="4734.9799999999996"/>
    <n v="3731.44"/>
    <n v="2"/>
    <n v="0"/>
  </r>
  <r>
    <n v="85"/>
    <x v="0"/>
    <n v="1"/>
    <n v="80"/>
    <n v="1"/>
    <x v="2"/>
    <n v="140"/>
    <n v="1820.41"/>
    <n v="1564.5"/>
    <n v="2"/>
    <n v="0"/>
  </r>
  <r>
    <n v="86"/>
    <x v="0"/>
    <n v="1"/>
    <n v="61"/>
    <n v="8"/>
    <x v="0"/>
    <n v="296"/>
    <n v="8954.81"/>
    <n v="3351.61"/>
    <n v="4"/>
    <n v="2"/>
  </r>
  <r>
    <n v="87"/>
    <x v="1"/>
    <n v="0"/>
    <n v="80"/>
    <n v="5"/>
    <x v="0"/>
    <n v="236"/>
    <n v="4177.8999999999996"/>
    <n v="2314.5700000000002"/>
    <n v="6"/>
    <n v="0"/>
  </r>
  <r>
    <n v="88"/>
    <x v="0"/>
    <n v="1"/>
    <n v="78"/>
    <n v="2"/>
    <x v="2"/>
    <n v="122"/>
    <n v="5756.89"/>
    <n v="2156.63"/>
    <n v="3"/>
    <n v="4"/>
  </r>
  <r>
    <n v="89"/>
    <x v="0"/>
    <n v="1"/>
    <n v="71"/>
    <n v="10"/>
    <x v="1"/>
    <n v="90"/>
    <n v="12919.48"/>
    <n v="2711.94"/>
    <n v="3"/>
    <n v="0"/>
  </r>
  <r>
    <n v="90"/>
    <x v="1"/>
    <n v="0"/>
    <n v="90"/>
    <n v="9"/>
    <x v="0"/>
    <n v="89"/>
    <n v="7022.47"/>
    <n v="2589.84"/>
    <n v="2"/>
    <n v="0"/>
  </r>
  <r>
    <n v="91"/>
    <x v="0"/>
    <n v="1"/>
    <n v="91"/>
    <n v="7"/>
    <x v="0"/>
    <n v="296"/>
    <n v="6823.6"/>
    <n v="3516.57"/>
    <n v="6"/>
    <n v="4"/>
  </r>
  <r>
    <n v="92"/>
    <x v="0"/>
    <n v="1"/>
    <n v="69"/>
    <n v="4"/>
    <x v="0"/>
    <n v="248"/>
    <n v="2384.4699999999998"/>
    <n v="2084.09"/>
    <n v="5"/>
    <n v="0"/>
  </r>
  <r>
    <n v="93"/>
    <x v="1"/>
    <n v="0"/>
    <n v="88"/>
    <n v="5"/>
    <x v="0"/>
    <n v="278"/>
    <n v="3169.19"/>
    <n v="2131.8200000000002"/>
    <n v="4"/>
    <n v="0"/>
  </r>
  <r>
    <n v="94"/>
    <x v="0"/>
    <n v="1"/>
    <n v="76"/>
    <n v="2"/>
    <x v="2"/>
    <n v="143"/>
    <n v="2721.63"/>
    <n v="1150.43"/>
    <n v="6"/>
    <n v="7"/>
  </r>
  <r>
    <n v="95"/>
    <x v="0"/>
    <n v="1"/>
    <n v="83"/>
    <n v="5"/>
    <x v="0"/>
    <n v="321"/>
    <n v="3034.14"/>
    <n v="1630.16"/>
    <n v="7"/>
    <n v="0"/>
  </r>
  <r>
    <n v="96"/>
    <x v="0"/>
    <n v="1"/>
    <n v="75"/>
    <n v="3"/>
    <x v="2"/>
    <n v="127"/>
    <n v="5041.93"/>
    <n v="3645.46"/>
    <n v="1"/>
    <n v="4"/>
  </r>
  <r>
    <n v="97"/>
    <x v="1"/>
    <n v="0"/>
    <n v="83"/>
    <n v="7"/>
    <x v="0"/>
    <n v="140"/>
    <n v="8118.92"/>
    <n v="1730.79"/>
    <n v="5"/>
    <n v="0"/>
  </r>
  <r>
    <n v="98"/>
    <x v="1"/>
    <n v="0"/>
    <n v="68"/>
    <n v="9"/>
    <x v="0"/>
    <n v="79"/>
    <n v="10955.29"/>
    <n v="5662.61"/>
    <n v="8"/>
    <n v="4"/>
  </r>
  <r>
    <n v="99"/>
    <x v="1"/>
    <n v="0"/>
    <n v="75"/>
    <n v="7"/>
    <x v="0"/>
    <n v="101"/>
    <n v="5363.25"/>
    <n v="3409.08"/>
    <n v="5"/>
    <n v="5"/>
  </r>
  <r>
    <n v="100"/>
    <x v="1"/>
    <n v="0"/>
    <n v="60"/>
    <n v="5"/>
    <x v="0"/>
    <n v="14"/>
    <n v="6572.6"/>
    <n v="3892.79"/>
    <n v="6"/>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25253-0F7F-4C88-8A61-C493AC7A7F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1">
    <pivotField showAll="0"/>
    <pivotField axis="axisRow" showAll="0">
      <items count="3">
        <item x="0"/>
        <item x="1"/>
        <item t="default"/>
      </items>
    </pivotField>
    <pivotField showAll="0"/>
    <pivotField dataField="1" showAll="0"/>
    <pivotField showAll="0"/>
    <pivotField showAll="0"/>
    <pivotField showAll="0"/>
    <pivotField numFmtId="164" showAll="0"/>
    <pivotField numFmtId="164" showAll="0"/>
    <pivotField showAll="0"/>
    <pivotField showAll="0"/>
  </pivotFields>
  <rowFields count="1">
    <field x="1"/>
  </rowFields>
  <rowItems count="3">
    <i>
      <x/>
    </i>
    <i>
      <x v="1"/>
    </i>
    <i t="grand">
      <x/>
    </i>
  </rowItems>
  <colItems count="1">
    <i/>
  </colItems>
  <dataFields count="1">
    <dataField name="Count of Age" fld="3"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53C780-74FD-4813-8A91-15D54E8023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1">
    <pivotField showAll="0"/>
    <pivotField axis="axisRow" dataField="1" showAll="0">
      <items count="3">
        <item x="0"/>
        <item x="1"/>
        <item t="default"/>
      </items>
    </pivotField>
    <pivotField showAll="0"/>
    <pivotField showAll="0"/>
    <pivotField showAll="0"/>
    <pivotField showAll="0"/>
    <pivotField showAll="0"/>
    <pivotField numFmtId="164" showAll="0"/>
    <pivotField numFmtId="164" showAll="0"/>
    <pivotField showAll="0"/>
    <pivotField showAll="0"/>
  </pivotFields>
  <rowFields count="1">
    <field x="1"/>
  </rowFields>
  <rowItems count="3">
    <i>
      <x/>
    </i>
    <i>
      <x v="1"/>
    </i>
    <i t="grand">
      <x/>
    </i>
  </rowItems>
  <colItems count="1">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151A7-7D10-410B-97FF-11EA29E459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11">
    <pivotField showAll="0"/>
    <pivotField showAll="0">
      <items count="3">
        <item x="0"/>
        <item x="1"/>
        <item t="default"/>
      </items>
    </pivotField>
    <pivotField showAll="0"/>
    <pivotField showAll="0"/>
    <pivotField showAll="0"/>
    <pivotField axis="axisRow" dataField="1" showAll="0" sortType="descending">
      <items count="4">
        <item x="2"/>
        <item x="0"/>
        <item x="1"/>
        <item t="default"/>
      </items>
    </pivotField>
    <pivotField showAll="0"/>
    <pivotField numFmtId="164" showAll="0"/>
    <pivotField numFmtId="164" showAll="0"/>
    <pivotField showAll="0"/>
    <pivotField showAll="0"/>
  </pivotFields>
  <rowFields count="1">
    <field x="5"/>
  </rowFields>
  <rowItems count="4">
    <i>
      <x/>
    </i>
    <i>
      <x v="1"/>
    </i>
    <i>
      <x v="2"/>
    </i>
    <i t="grand">
      <x/>
    </i>
  </rowItems>
  <colItems count="1">
    <i/>
  </colItems>
  <dataFields count="1">
    <dataField name="Count of LOS1"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6328125" defaultRowHeight="12.5" x14ac:dyDescent="0.25"/>
  <cols>
    <col min="1" max="1" width="115" customWidth="1"/>
  </cols>
  <sheetData>
    <row r="1" spans="1:1" ht="15.75" customHeight="1" x14ac:dyDescent="0.35">
      <c r="A1" s="2" t="s">
        <v>0</v>
      </c>
    </row>
    <row r="2" spans="1:1" ht="15" customHeight="1" x14ac:dyDescent="0.3">
      <c r="A2" s="3"/>
    </row>
    <row r="3" spans="1:1" ht="15" customHeight="1" x14ac:dyDescent="0.3">
      <c r="A3" s="4" t="s">
        <v>1</v>
      </c>
    </row>
    <row r="4" spans="1:1" ht="15" customHeight="1" x14ac:dyDescent="0.3">
      <c r="A4" s="3"/>
    </row>
    <row r="5" spans="1:1" ht="15" customHeight="1" x14ac:dyDescent="0.3">
      <c r="A5" s="1" t="s">
        <v>2</v>
      </c>
    </row>
    <row r="6" spans="1:1" ht="15" customHeight="1" x14ac:dyDescent="0.3">
      <c r="A6" s="3" t="s">
        <v>3</v>
      </c>
    </row>
    <row r="7" spans="1:1" ht="15" customHeight="1" x14ac:dyDescent="0.3">
      <c r="A7" s="3" t="s">
        <v>4</v>
      </c>
    </row>
    <row r="8" spans="1:1" ht="15" customHeight="1" x14ac:dyDescent="0.3">
      <c r="A8" s="3" t="s">
        <v>5</v>
      </c>
    </row>
    <row r="9" spans="1:1" ht="15" customHeight="1" x14ac:dyDescent="0.3">
      <c r="A9" s="3" t="s">
        <v>6</v>
      </c>
    </row>
    <row r="10" spans="1:1" ht="15" customHeight="1" x14ac:dyDescent="0.3">
      <c r="A10" s="3" t="s">
        <v>7</v>
      </c>
    </row>
    <row r="11" spans="1:1" ht="15" customHeight="1" x14ac:dyDescent="0.3">
      <c r="A11" s="3" t="s">
        <v>8</v>
      </c>
    </row>
    <row r="12" spans="1:1" ht="15" customHeight="1" x14ac:dyDescent="0.3">
      <c r="A12" s="3"/>
    </row>
    <row r="13" spans="1:1" ht="15" customHeight="1" x14ac:dyDescent="0.3">
      <c r="A13" s="1" t="s">
        <v>9</v>
      </c>
    </row>
    <row r="14" spans="1:1" ht="15" customHeight="1" x14ac:dyDescent="0.3">
      <c r="A14" s="3" t="s">
        <v>10</v>
      </c>
    </row>
    <row r="15" spans="1:1" ht="15" customHeight="1" x14ac:dyDescent="0.3">
      <c r="A15" s="3"/>
    </row>
    <row r="16" spans="1:1" ht="15" customHeight="1" x14ac:dyDescent="0.3">
      <c r="A16" s="1" t="s">
        <v>11</v>
      </c>
    </row>
    <row r="17" spans="1:1" ht="15" customHeight="1" x14ac:dyDescent="0.3">
      <c r="A17" s="3"/>
    </row>
    <row r="18" spans="1:1" ht="15" customHeight="1" x14ac:dyDescent="0.3">
      <c r="A18" s="1"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CCB2-DE19-4DE7-8E19-284B9C0D399C}">
  <dimension ref="A1:H20"/>
  <sheetViews>
    <sheetView tabSelected="1" workbookViewId="0">
      <selection activeCell="A14" sqref="A14"/>
    </sheetView>
  </sheetViews>
  <sheetFormatPr defaultRowHeight="12.5" x14ac:dyDescent="0.25"/>
  <cols>
    <col min="1" max="1" width="13" bestFit="1" customWidth="1"/>
    <col min="2" max="2" width="13.6328125" bestFit="1" customWidth="1"/>
    <col min="5" max="5" width="13" bestFit="1" customWidth="1"/>
    <col min="6" max="6" width="12.08984375" bestFit="1" customWidth="1"/>
  </cols>
  <sheetData>
    <row r="1" spans="1:8" x14ac:dyDescent="0.25">
      <c r="A1" t="s">
        <v>55</v>
      </c>
      <c r="E1" t="s">
        <v>57</v>
      </c>
    </row>
    <row r="3" spans="1:8" x14ac:dyDescent="0.25">
      <c r="A3" s="18" t="s">
        <v>52</v>
      </c>
      <c r="B3" t="s">
        <v>54</v>
      </c>
      <c r="E3" s="18" t="s">
        <v>52</v>
      </c>
      <c r="F3" t="s">
        <v>56</v>
      </c>
    </row>
    <row r="4" spans="1:8" x14ac:dyDescent="0.25">
      <c r="A4" s="19" t="s">
        <v>24</v>
      </c>
      <c r="B4">
        <v>64</v>
      </c>
      <c r="E4" s="19" t="s">
        <v>24</v>
      </c>
      <c r="F4">
        <v>64</v>
      </c>
    </row>
    <row r="5" spans="1:8" x14ac:dyDescent="0.25">
      <c r="A5" s="19" t="s">
        <v>25</v>
      </c>
      <c r="B5">
        <v>36</v>
      </c>
      <c r="E5" s="19" t="s">
        <v>25</v>
      </c>
      <c r="F5">
        <v>36</v>
      </c>
    </row>
    <row r="6" spans="1:8" x14ac:dyDescent="0.25">
      <c r="A6" s="19" t="s">
        <v>53</v>
      </c>
      <c r="B6">
        <v>100</v>
      </c>
      <c r="E6" s="19" t="s">
        <v>53</v>
      </c>
      <c r="F6">
        <v>100</v>
      </c>
    </row>
    <row r="8" spans="1:8" x14ac:dyDescent="0.25">
      <c r="A8" s="20" t="s">
        <v>58</v>
      </c>
      <c r="B8" s="20"/>
      <c r="C8" s="20"/>
      <c r="D8" s="20"/>
      <c r="E8" s="20"/>
      <c r="F8" s="20"/>
      <c r="G8" s="20"/>
      <c r="H8" s="20"/>
    </row>
    <row r="9" spans="1:8" x14ac:dyDescent="0.25">
      <c r="A9" s="20"/>
      <c r="B9" s="20"/>
      <c r="C9" s="20"/>
      <c r="D9" s="20"/>
      <c r="E9" s="20"/>
      <c r="F9" s="20"/>
      <c r="G9" s="20"/>
      <c r="H9" s="20"/>
    </row>
    <row r="10" spans="1:8" x14ac:dyDescent="0.25">
      <c r="A10" s="20"/>
      <c r="B10" s="20"/>
      <c r="C10" s="20"/>
      <c r="D10" s="20"/>
      <c r="E10" s="20"/>
      <c r="F10" s="20"/>
      <c r="G10" s="20"/>
      <c r="H10" s="20"/>
    </row>
    <row r="11" spans="1:8" x14ac:dyDescent="0.25">
      <c r="A11" s="20"/>
      <c r="B11" s="20"/>
      <c r="C11" s="20"/>
      <c r="D11" s="20"/>
      <c r="E11" s="20"/>
      <c r="F11" s="20"/>
      <c r="G11" s="20"/>
      <c r="H11" s="20"/>
    </row>
    <row r="12" spans="1:8" x14ac:dyDescent="0.25">
      <c r="A12" s="20"/>
      <c r="B12" s="20"/>
      <c r="C12" s="20"/>
      <c r="D12" s="20"/>
      <c r="E12" s="20"/>
      <c r="F12" s="20"/>
      <c r="G12" s="20"/>
      <c r="H12" s="20"/>
    </row>
    <row r="13" spans="1:8" x14ac:dyDescent="0.25">
      <c r="A13" s="20"/>
      <c r="B13" s="20"/>
      <c r="C13" s="20"/>
      <c r="D13" s="20"/>
      <c r="E13" s="20"/>
      <c r="F13" s="20"/>
      <c r="G13" s="20"/>
      <c r="H13" s="20"/>
    </row>
    <row r="14" spans="1:8" x14ac:dyDescent="0.25">
      <c r="A14" t="s">
        <v>63</v>
      </c>
    </row>
    <row r="16" spans="1:8" x14ac:dyDescent="0.25">
      <c r="A16" s="18" t="s">
        <v>52</v>
      </c>
      <c r="B16" t="s">
        <v>62</v>
      </c>
    </row>
    <row r="17" spans="1:2" x14ac:dyDescent="0.25">
      <c r="A17" s="19" t="s">
        <v>61</v>
      </c>
      <c r="B17">
        <v>42</v>
      </c>
    </row>
    <row r="18" spans="1:2" x14ac:dyDescent="0.25">
      <c r="A18" s="19" t="s">
        <v>60</v>
      </c>
      <c r="B18">
        <v>44</v>
      </c>
    </row>
    <row r="19" spans="1:2" x14ac:dyDescent="0.25">
      <c r="A19" s="19" t="s">
        <v>59</v>
      </c>
      <c r="B19">
        <v>14</v>
      </c>
    </row>
    <row r="20" spans="1:2" x14ac:dyDescent="0.25">
      <c r="A20" s="19" t="s">
        <v>53</v>
      </c>
      <c r="B20">
        <v>100</v>
      </c>
    </row>
  </sheetData>
  <mergeCells count="1">
    <mergeCell ref="A8: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zoomScaleNormal="100" workbookViewId="0"/>
  </sheetViews>
  <sheetFormatPr defaultColWidth="8.81640625" defaultRowHeight="12.5" x14ac:dyDescent="0.25"/>
  <cols>
    <col min="1" max="1" width="4.453125" customWidth="1"/>
    <col min="2" max="2" width="4.36328125" customWidth="1"/>
    <col min="3" max="3" width="5.36328125" customWidth="1"/>
    <col min="4" max="4" width="6.6328125" customWidth="1"/>
    <col min="5" max="5" width="6.36328125" customWidth="1"/>
    <col min="6" max="6" width="8" customWidth="1"/>
    <col min="7" max="8" width="5.453125" style="5" customWidth="1"/>
    <col min="9" max="10" width="5.453125" customWidth="1"/>
  </cols>
  <sheetData>
    <row r="1" spans="1:11" s="6" customFormat="1" ht="12.75" customHeight="1" x14ac:dyDescent="0.3">
      <c r="A1" s="6" t="s">
        <v>13</v>
      </c>
      <c r="B1" s="6" t="s">
        <v>14</v>
      </c>
      <c r="C1" s="6" t="s">
        <v>15</v>
      </c>
      <c r="D1" s="6" t="s">
        <v>16</v>
      </c>
      <c r="E1" s="6" t="s">
        <v>17</v>
      </c>
      <c r="F1" s="7" t="s">
        <v>18</v>
      </c>
      <c r="G1" s="7" t="s">
        <v>19</v>
      </c>
      <c r="H1" s="8" t="s">
        <v>20</v>
      </c>
      <c r="I1" s="8" t="s">
        <v>21</v>
      </c>
      <c r="J1" s="7" t="s">
        <v>22</v>
      </c>
      <c r="K1" s="7" t="s">
        <v>23</v>
      </c>
    </row>
    <row r="2" spans="1:11" ht="12" customHeight="1" x14ac:dyDescent="0.25">
      <c r="A2">
        <v>1</v>
      </c>
      <c r="B2" t="s">
        <v>24</v>
      </c>
      <c r="C2">
        <f t="shared" ref="C2:C33" si="0">IF(B2="F",1,0)</f>
        <v>1</v>
      </c>
      <c r="D2">
        <v>46</v>
      </c>
      <c r="E2">
        <v>4</v>
      </c>
      <c r="F2" t="str">
        <f t="shared" ref="F2:F33" si="1">IF(E2&lt;4,"Short",IF(E2&lt;=9,"Medium","Long"))</f>
        <v>Medium</v>
      </c>
      <c r="G2">
        <v>294</v>
      </c>
      <c r="H2" s="5">
        <v>2426.48</v>
      </c>
      <c r="I2" s="5">
        <v>2003.62</v>
      </c>
      <c r="J2">
        <v>2</v>
      </c>
      <c r="K2">
        <v>0</v>
      </c>
    </row>
    <row r="3" spans="1:11" ht="12" customHeight="1" x14ac:dyDescent="0.25">
      <c r="A3">
        <v>2</v>
      </c>
      <c r="B3" t="s">
        <v>24</v>
      </c>
      <c r="C3">
        <f t="shared" si="0"/>
        <v>1</v>
      </c>
      <c r="D3">
        <v>87</v>
      </c>
      <c r="E3">
        <v>8</v>
      </c>
      <c r="F3" t="str">
        <f t="shared" si="1"/>
        <v>Medium</v>
      </c>
      <c r="G3">
        <v>139</v>
      </c>
      <c r="H3" s="5">
        <v>6815.61</v>
      </c>
      <c r="I3" s="5">
        <v>1072.17</v>
      </c>
      <c r="J3">
        <v>4</v>
      </c>
      <c r="K3">
        <v>4</v>
      </c>
    </row>
    <row r="4" spans="1:11" ht="12" customHeight="1" x14ac:dyDescent="0.25">
      <c r="A4">
        <v>3</v>
      </c>
      <c r="B4" t="s">
        <v>24</v>
      </c>
      <c r="C4">
        <f t="shared" si="0"/>
        <v>1</v>
      </c>
      <c r="D4">
        <v>70</v>
      </c>
      <c r="E4">
        <v>10</v>
      </c>
      <c r="F4" t="str">
        <f t="shared" si="1"/>
        <v>Long</v>
      </c>
      <c r="G4">
        <v>34</v>
      </c>
      <c r="H4" s="5">
        <v>7596.68</v>
      </c>
      <c r="I4" s="5">
        <v>4096.9799999999996</v>
      </c>
      <c r="J4">
        <v>6</v>
      </c>
      <c r="K4">
        <v>0</v>
      </c>
    </row>
    <row r="5" spans="1:11" ht="12" customHeight="1" x14ac:dyDescent="0.25">
      <c r="A5">
        <v>4</v>
      </c>
      <c r="B5" t="s">
        <v>25</v>
      </c>
      <c r="C5">
        <f t="shared" si="0"/>
        <v>0</v>
      </c>
      <c r="D5">
        <v>72</v>
      </c>
      <c r="E5">
        <v>5</v>
      </c>
      <c r="F5" t="str">
        <f t="shared" si="1"/>
        <v>Medium</v>
      </c>
      <c r="G5">
        <v>140</v>
      </c>
      <c r="H5" s="5">
        <v>6450.77</v>
      </c>
      <c r="I5" s="5">
        <v>1710.79</v>
      </c>
      <c r="J5">
        <v>5</v>
      </c>
      <c r="K5">
        <v>0</v>
      </c>
    </row>
    <row r="6" spans="1:11" ht="12" customHeight="1" x14ac:dyDescent="0.25">
      <c r="A6">
        <v>5</v>
      </c>
      <c r="B6" t="s">
        <v>24</v>
      </c>
      <c r="C6">
        <f t="shared" si="0"/>
        <v>1</v>
      </c>
      <c r="D6">
        <v>82</v>
      </c>
      <c r="E6">
        <v>3</v>
      </c>
      <c r="F6" t="str">
        <f t="shared" si="1"/>
        <v>Short</v>
      </c>
      <c r="G6">
        <v>141</v>
      </c>
      <c r="H6" s="5">
        <v>3542.79</v>
      </c>
      <c r="I6" s="5">
        <v>1914.9</v>
      </c>
      <c r="J6">
        <v>3</v>
      </c>
      <c r="K6">
        <v>7</v>
      </c>
    </row>
    <row r="7" spans="1:11" ht="12" customHeight="1" x14ac:dyDescent="0.25">
      <c r="A7">
        <v>6</v>
      </c>
      <c r="B7" t="s">
        <v>24</v>
      </c>
      <c r="C7">
        <f t="shared" si="0"/>
        <v>1</v>
      </c>
      <c r="D7">
        <v>85</v>
      </c>
      <c r="E7">
        <v>2</v>
      </c>
      <c r="F7" t="str">
        <f t="shared" si="1"/>
        <v>Short</v>
      </c>
      <c r="G7">
        <v>15</v>
      </c>
      <c r="H7" s="5">
        <v>2590.86</v>
      </c>
      <c r="I7" s="5">
        <v>2601.14</v>
      </c>
      <c r="J7">
        <v>5</v>
      </c>
      <c r="K7">
        <v>4</v>
      </c>
    </row>
    <row r="8" spans="1:11" ht="12" customHeight="1" x14ac:dyDescent="0.25">
      <c r="A8">
        <v>7</v>
      </c>
      <c r="B8" t="s">
        <v>24</v>
      </c>
      <c r="C8">
        <f t="shared" si="0"/>
        <v>1</v>
      </c>
      <c r="D8">
        <v>73</v>
      </c>
      <c r="E8">
        <v>5</v>
      </c>
      <c r="F8" t="str">
        <f t="shared" si="1"/>
        <v>Medium</v>
      </c>
      <c r="G8">
        <v>294</v>
      </c>
      <c r="H8" s="5">
        <v>5082.83</v>
      </c>
      <c r="I8" s="5">
        <v>2035.31</v>
      </c>
      <c r="J8">
        <v>7</v>
      </c>
      <c r="K8">
        <v>2</v>
      </c>
    </row>
    <row r="9" spans="1:11" ht="12" customHeight="1" x14ac:dyDescent="0.25">
      <c r="A9">
        <v>8</v>
      </c>
      <c r="B9" t="s">
        <v>25</v>
      </c>
      <c r="C9">
        <f t="shared" si="0"/>
        <v>0</v>
      </c>
      <c r="D9">
        <v>65</v>
      </c>
      <c r="E9">
        <v>6</v>
      </c>
      <c r="F9" t="str">
        <f t="shared" si="1"/>
        <v>Medium</v>
      </c>
      <c r="G9">
        <v>241</v>
      </c>
      <c r="H9" s="5">
        <v>3580.55</v>
      </c>
      <c r="I9" s="5">
        <v>2320.42</v>
      </c>
      <c r="J9">
        <v>6</v>
      </c>
      <c r="K9">
        <v>0</v>
      </c>
    </row>
    <row r="10" spans="1:11" ht="12" customHeight="1" x14ac:dyDescent="0.25">
      <c r="A10">
        <v>9</v>
      </c>
      <c r="B10" t="s">
        <v>25</v>
      </c>
      <c r="C10">
        <f t="shared" si="0"/>
        <v>0</v>
      </c>
      <c r="D10">
        <v>73</v>
      </c>
      <c r="E10">
        <v>6</v>
      </c>
      <c r="F10" t="str">
        <f t="shared" si="1"/>
        <v>Medium</v>
      </c>
      <c r="G10">
        <v>335</v>
      </c>
      <c r="H10" s="5">
        <v>11045.79</v>
      </c>
      <c r="I10" s="5">
        <v>4184.26</v>
      </c>
      <c r="J10">
        <v>1</v>
      </c>
      <c r="K10">
        <v>0</v>
      </c>
    </row>
    <row r="11" spans="1:11" ht="12" customHeight="1" x14ac:dyDescent="0.25">
      <c r="A11">
        <v>10</v>
      </c>
      <c r="B11" t="s">
        <v>24</v>
      </c>
      <c r="C11">
        <f t="shared" si="0"/>
        <v>1</v>
      </c>
      <c r="D11">
        <v>94</v>
      </c>
      <c r="E11">
        <v>14</v>
      </c>
      <c r="F11" t="str">
        <f t="shared" si="1"/>
        <v>Long</v>
      </c>
      <c r="G11">
        <v>148</v>
      </c>
      <c r="H11" s="5">
        <v>19708.11</v>
      </c>
      <c r="I11" s="5">
        <v>12158.49</v>
      </c>
      <c r="J11">
        <v>4</v>
      </c>
      <c r="K11">
        <v>0</v>
      </c>
    </row>
    <row r="12" spans="1:11" ht="12" customHeight="1" x14ac:dyDescent="0.25">
      <c r="A12">
        <v>11</v>
      </c>
      <c r="B12" t="s">
        <v>24</v>
      </c>
      <c r="C12">
        <f t="shared" si="0"/>
        <v>1</v>
      </c>
      <c r="D12">
        <v>94</v>
      </c>
      <c r="E12">
        <v>11</v>
      </c>
      <c r="F12" t="str">
        <f t="shared" si="1"/>
        <v>Long</v>
      </c>
      <c r="G12">
        <v>89</v>
      </c>
      <c r="H12" s="5">
        <v>8953.3799999999992</v>
      </c>
      <c r="I12" s="5">
        <v>4345.84</v>
      </c>
      <c r="J12">
        <v>4</v>
      </c>
      <c r="K12">
        <v>0</v>
      </c>
    </row>
    <row r="13" spans="1:11" ht="12" customHeight="1" x14ac:dyDescent="0.25">
      <c r="A13">
        <v>12</v>
      </c>
      <c r="B13" t="s">
        <v>25</v>
      </c>
      <c r="C13">
        <f t="shared" si="0"/>
        <v>0</v>
      </c>
      <c r="D13">
        <v>79</v>
      </c>
      <c r="E13">
        <v>5</v>
      </c>
      <c r="F13" t="str">
        <f t="shared" si="1"/>
        <v>Medium</v>
      </c>
      <c r="G13">
        <v>127</v>
      </c>
      <c r="H13" s="5">
        <v>7000.21</v>
      </c>
      <c r="I13" s="5">
        <v>3993.48</v>
      </c>
      <c r="J13">
        <v>5</v>
      </c>
      <c r="K13">
        <v>0</v>
      </c>
    </row>
    <row r="14" spans="1:11" ht="12" customHeight="1" x14ac:dyDescent="0.25">
      <c r="A14">
        <v>13</v>
      </c>
      <c r="B14" t="s">
        <v>25</v>
      </c>
      <c r="C14">
        <f t="shared" si="0"/>
        <v>0</v>
      </c>
      <c r="D14">
        <v>82</v>
      </c>
      <c r="E14">
        <v>6</v>
      </c>
      <c r="F14" t="str">
        <f t="shared" si="1"/>
        <v>Medium</v>
      </c>
      <c r="G14">
        <v>89</v>
      </c>
      <c r="H14" s="5">
        <v>5330.24</v>
      </c>
      <c r="I14" s="5">
        <v>3408.07</v>
      </c>
      <c r="J14">
        <v>4</v>
      </c>
      <c r="K14">
        <v>0</v>
      </c>
    </row>
    <row r="15" spans="1:11" ht="12" customHeight="1" x14ac:dyDescent="0.25">
      <c r="A15">
        <v>14</v>
      </c>
      <c r="B15" t="s">
        <v>24</v>
      </c>
      <c r="C15">
        <f t="shared" si="0"/>
        <v>1</v>
      </c>
      <c r="D15">
        <v>76</v>
      </c>
      <c r="E15">
        <v>3</v>
      </c>
      <c r="F15" t="str">
        <f t="shared" si="1"/>
        <v>Short</v>
      </c>
      <c r="G15">
        <v>122</v>
      </c>
      <c r="H15" s="5">
        <v>6864.63</v>
      </c>
      <c r="I15" s="5">
        <v>3637.35</v>
      </c>
      <c r="J15">
        <v>5</v>
      </c>
      <c r="K15">
        <v>4</v>
      </c>
    </row>
    <row r="16" spans="1:11" ht="12" customHeight="1" x14ac:dyDescent="0.25">
      <c r="A16">
        <v>15</v>
      </c>
      <c r="B16" t="s">
        <v>25</v>
      </c>
      <c r="C16">
        <f t="shared" si="0"/>
        <v>0</v>
      </c>
      <c r="D16">
        <v>72</v>
      </c>
      <c r="E16">
        <v>3</v>
      </c>
      <c r="F16" t="str">
        <f t="shared" si="1"/>
        <v>Short</v>
      </c>
      <c r="G16">
        <v>336</v>
      </c>
      <c r="H16" s="5">
        <v>4318.13</v>
      </c>
      <c r="I16" s="5">
        <v>2676.01</v>
      </c>
      <c r="J16">
        <v>2</v>
      </c>
      <c r="K16">
        <v>0</v>
      </c>
    </row>
    <row r="17" spans="1:11" ht="12" customHeight="1" x14ac:dyDescent="0.25">
      <c r="A17">
        <v>16</v>
      </c>
      <c r="B17" t="s">
        <v>24</v>
      </c>
      <c r="C17">
        <f t="shared" si="0"/>
        <v>1</v>
      </c>
      <c r="D17">
        <v>91</v>
      </c>
      <c r="E17">
        <v>7</v>
      </c>
      <c r="F17" t="str">
        <f t="shared" si="1"/>
        <v>Medium</v>
      </c>
      <c r="G17">
        <v>321</v>
      </c>
      <c r="H17" s="5">
        <v>6424.3</v>
      </c>
      <c r="I17" s="5">
        <v>1510.2</v>
      </c>
      <c r="J17">
        <v>3</v>
      </c>
      <c r="K17">
        <v>0</v>
      </c>
    </row>
    <row r="18" spans="1:11" ht="12" customHeight="1" x14ac:dyDescent="0.25">
      <c r="A18">
        <v>17</v>
      </c>
      <c r="B18" t="s">
        <v>24</v>
      </c>
      <c r="C18">
        <f t="shared" si="0"/>
        <v>1</v>
      </c>
      <c r="D18">
        <v>90</v>
      </c>
      <c r="E18">
        <v>6</v>
      </c>
      <c r="F18" t="str">
        <f t="shared" si="1"/>
        <v>Medium</v>
      </c>
      <c r="G18">
        <v>174</v>
      </c>
      <c r="H18" s="5">
        <v>5184.53</v>
      </c>
      <c r="I18" s="5">
        <v>3642.44</v>
      </c>
      <c r="J18">
        <v>6</v>
      </c>
      <c r="K18">
        <v>5</v>
      </c>
    </row>
    <row r="19" spans="1:11" ht="12" customHeight="1" x14ac:dyDescent="0.25">
      <c r="A19">
        <v>18</v>
      </c>
      <c r="B19" t="s">
        <v>24</v>
      </c>
      <c r="C19">
        <f t="shared" si="0"/>
        <v>1</v>
      </c>
      <c r="D19">
        <v>83</v>
      </c>
      <c r="E19">
        <v>3</v>
      </c>
      <c r="F19" t="str">
        <f t="shared" si="1"/>
        <v>Short</v>
      </c>
      <c r="G19">
        <v>143</v>
      </c>
      <c r="H19" s="5">
        <v>1871.78</v>
      </c>
      <c r="I19" s="5">
        <v>1167.6500000000001</v>
      </c>
      <c r="J19">
        <v>6</v>
      </c>
      <c r="K19">
        <v>0</v>
      </c>
    </row>
    <row r="20" spans="1:11" ht="12" customHeight="1" x14ac:dyDescent="0.25">
      <c r="A20">
        <v>19</v>
      </c>
      <c r="B20" t="s">
        <v>24</v>
      </c>
      <c r="C20">
        <f t="shared" si="0"/>
        <v>1</v>
      </c>
      <c r="D20">
        <v>82</v>
      </c>
      <c r="E20">
        <v>11</v>
      </c>
      <c r="F20" t="str">
        <f t="shared" si="1"/>
        <v>Long</v>
      </c>
      <c r="G20">
        <v>358</v>
      </c>
      <c r="H20" s="5">
        <v>11179.97</v>
      </c>
      <c r="I20" s="5">
        <v>3432.13</v>
      </c>
      <c r="J20">
        <v>9</v>
      </c>
      <c r="K20">
        <v>6</v>
      </c>
    </row>
    <row r="21" spans="1:11" ht="12" customHeight="1" x14ac:dyDescent="0.25">
      <c r="A21">
        <v>20</v>
      </c>
      <c r="B21" t="s">
        <v>24</v>
      </c>
      <c r="C21">
        <f t="shared" si="0"/>
        <v>1</v>
      </c>
      <c r="D21">
        <v>49</v>
      </c>
      <c r="E21">
        <v>2</v>
      </c>
      <c r="F21" t="str">
        <f t="shared" si="1"/>
        <v>Short</v>
      </c>
      <c r="G21">
        <v>140</v>
      </c>
      <c r="H21" s="5">
        <v>3405.38</v>
      </c>
      <c r="I21" s="5">
        <v>1710.79</v>
      </c>
      <c r="J21">
        <v>1</v>
      </c>
      <c r="K21">
        <v>0</v>
      </c>
    </row>
    <row r="22" spans="1:11" ht="12" customHeight="1" x14ac:dyDescent="0.25">
      <c r="A22">
        <v>21</v>
      </c>
      <c r="B22" t="s">
        <v>24</v>
      </c>
      <c r="C22">
        <f t="shared" si="0"/>
        <v>1</v>
      </c>
      <c r="D22">
        <v>88</v>
      </c>
      <c r="E22">
        <v>2</v>
      </c>
      <c r="F22" t="str">
        <f t="shared" si="1"/>
        <v>Short</v>
      </c>
      <c r="G22">
        <v>143</v>
      </c>
      <c r="H22" s="5">
        <v>1731.73</v>
      </c>
      <c r="I22" s="5">
        <v>1979.28</v>
      </c>
      <c r="J22">
        <v>4</v>
      </c>
      <c r="K22">
        <v>7</v>
      </c>
    </row>
    <row r="23" spans="1:11" ht="12" customHeight="1" x14ac:dyDescent="0.25">
      <c r="A23">
        <v>22</v>
      </c>
      <c r="B23" t="s">
        <v>24</v>
      </c>
      <c r="C23">
        <f t="shared" si="0"/>
        <v>1</v>
      </c>
      <c r="D23">
        <v>75</v>
      </c>
      <c r="E23">
        <v>2</v>
      </c>
      <c r="F23" t="str">
        <f t="shared" si="1"/>
        <v>Short</v>
      </c>
      <c r="G23">
        <v>159</v>
      </c>
      <c r="H23" s="5">
        <v>5384.92</v>
      </c>
      <c r="I23" s="5">
        <v>3316.59</v>
      </c>
      <c r="J23">
        <v>2</v>
      </c>
      <c r="K23">
        <v>0</v>
      </c>
    </row>
    <row r="24" spans="1:11" ht="12" customHeight="1" x14ac:dyDescent="0.25">
      <c r="A24">
        <v>23</v>
      </c>
      <c r="B24" t="s">
        <v>25</v>
      </c>
      <c r="C24">
        <f t="shared" si="0"/>
        <v>0</v>
      </c>
      <c r="D24">
        <v>81</v>
      </c>
      <c r="E24">
        <v>7</v>
      </c>
      <c r="F24" t="str">
        <f t="shared" si="1"/>
        <v>Medium</v>
      </c>
      <c r="G24">
        <v>89</v>
      </c>
      <c r="H24" s="5">
        <v>5216.91</v>
      </c>
      <c r="I24" s="5">
        <v>3613.06</v>
      </c>
      <c r="J24">
        <v>2</v>
      </c>
      <c r="K24">
        <v>4</v>
      </c>
    </row>
    <row r="25" spans="1:11" ht="12" customHeight="1" x14ac:dyDescent="0.25">
      <c r="A25">
        <v>24</v>
      </c>
      <c r="B25" t="s">
        <v>24</v>
      </c>
      <c r="C25">
        <f t="shared" si="0"/>
        <v>1</v>
      </c>
      <c r="D25">
        <v>76</v>
      </c>
      <c r="E25">
        <v>4</v>
      </c>
      <c r="F25" t="str">
        <f t="shared" si="1"/>
        <v>Medium</v>
      </c>
      <c r="G25">
        <v>294</v>
      </c>
      <c r="H25" s="5">
        <v>2489.65</v>
      </c>
      <c r="I25" s="5">
        <v>2201.9299999999998</v>
      </c>
      <c r="J25">
        <v>3</v>
      </c>
      <c r="K25">
        <v>0</v>
      </c>
    </row>
    <row r="26" spans="1:11" ht="12" customHeight="1" x14ac:dyDescent="0.25">
      <c r="A26">
        <v>25</v>
      </c>
      <c r="B26" t="s">
        <v>24</v>
      </c>
      <c r="C26">
        <f t="shared" si="0"/>
        <v>1</v>
      </c>
      <c r="D26">
        <v>85</v>
      </c>
      <c r="E26">
        <v>10</v>
      </c>
      <c r="F26" t="str">
        <f t="shared" si="1"/>
        <v>Long</v>
      </c>
      <c r="G26">
        <v>473</v>
      </c>
      <c r="H26" s="5">
        <v>8244.25</v>
      </c>
      <c r="I26" s="5">
        <v>12772.75</v>
      </c>
      <c r="J26">
        <v>4</v>
      </c>
      <c r="K26">
        <v>0</v>
      </c>
    </row>
    <row r="27" spans="1:11" ht="12" customHeight="1" x14ac:dyDescent="0.25">
      <c r="A27">
        <v>26</v>
      </c>
      <c r="B27" t="s">
        <v>24</v>
      </c>
      <c r="C27">
        <f t="shared" si="0"/>
        <v>1</v>
      </c>
      <c r="D27">
        <v>84</v>
      </c>
      <c r="E27">
        <v>6</v>
      </c>
      <c r="F27" t="str">
        <f t="shared" si="1"/>
        <v>Medium</v>
      </c>
      <c r="G27">
        <v>128</v>
      </c>
      <c r="H27" s="5">
        <v>3548.05</v>
      </c>
      <c r="I27" s="5">
        <v>2163.29</v>
      </c>
      <c r="J27">
        <v>8</v>
      </c>
      <c r="K27">
        <v>4</v>
      </c>
    </row>
    <row r="28" spans="1:11" ht="12" customHeight="1" x14ac:dyDescent="0.25">
      <c r="A28">
        <v>27</v>
      </c>
      <c r="B28" t="s">
        <v>24</v>
      </c>
      <c r="C28">
        <f t="shared" si="0"/>
        <v>1</v>
      </c>
      <c r="D28">
        <v>77</v>
      </c>
      <c r="E28">
        <v>3</v>
      </c>
      <c r="F28" t="str">
        <f t="shared" si="1"/>
        <v>Short</v>
      </c>
      <c r="G28">
        <v>15</v>
      </c>
      <c r="H28" s="5">
        <v>4713.26</v>
      </c>
      <c r="I28" s="5">
        <v>1801.73</v>
      </c>
      <c r="J28">
        <v>4</v>
      </c>
      <c r="K28">
        <v>0</v>
      </c>
    </row>
    <row r="29" spans="1:11" ht="12" customHeight="1" x14ac:dyDescent="0.25">
      <c r="A29">
        <v>28</v>
      </c>
      <c r="B29" t="s">
        <v>24</v>
      </c>
      <c r="C29">
        <f t="shared" si="0"/>
        <v>1</v>
      </c>
      <c r="D29">
        <v>94</v>
      </c>
      <c r="E29">
        <v>6</v>
      </c>
      <c r="F29" t="str">
        <f t="shared" si="1"/>
        <v>Medium</v>
      </c>
      <c r="G29">
        <v>121</v>
      </c>
      <c r="H29" s="5">
        <v>5804.21</v>
      </c>
      <c r="I29" s="5">
        <v>5282.36</v>
      </c>
      <c r="J29">
        <v>5</v>
      </c>
      <c r="K29">
        <v>7</v>
      </c>
    </row>
    <row r="30" spans="1:11" ht="12" customHeight="1" x14ac:dyDescent="0.25">
      <c r="A30">
        <v>29</v>
      </c>
      <c r="B30" t="s">
        <v>24</v>
      </c>
      <c r="C30">
        <f t="shared" si="0"/>
        <v>1</v>
      </c>
      <c r="D30">
        <v>66</v>
      </c>
      <c r="E30">
        <v>6</v>
      </c>
      <c r="F30" t="str">
        <f t="shared" si="1"/>
        <v>Medium</v>
      </c>
      <c r="G30">
        <v>128</v>
      </c>
      <c r="H30" s="5">
        <v>2945.22</v>
      </c>
      <c r="I30" s="5">
        <v>2849.72</v>
      </c>
      <c r="J30">
        <v>2</v>
      </c>
      <c r="K30">
        <v>0</v>
      </c>
    </row>
    <row r="31" spans="1:11" ht="12" customHeight="1" x14ac:dyDescent="0.25">
      <c r="A31">
        <v>30</v>
      </c>
      <c r="B31" t="s">
        <v>25</v>
      </c>
      <c r="C31">
        <f t="shared" si="0"/>
        <v>0</v>
      </c>
      <c r="D31">
        <v>72</v>
      </c>
      <c r="E31">
        <v>1</v>
      </c>
      <c r="F31" t="str">
        <f t="shared" si="1"/>
        <v>Short</v>
      </c>
      <c r="G31">
        <v>140</v>
      </c>
      <c r="H31" s="5">
        <v>1035.75</v>
      </c>
      <c r="I31" s="5">
        <v>1685.62</v>
      </c>
      <c r="J31">
        <v>5</v>
      </c>
      <c r="K31">
        <v>4</v>
      </c>
    </row>
    <row r="32" spans="1:11" ht="12" customHeight="1" x14ac:dyDescent="0.25">
      <c r="A32">
        <v>31</v>
      </c>
      <c r="B32" t="s">
        <v>25</v>
      </c>
      <c r="C32">
        <f t="shared" si="0"/>
        <v>0</v>
      </c>
      <c r="D32">
        <v>78</v>
      </c>
      <c r="E32">
        <v>3</v>
      </c>
      <c r="F32" t="str">
        <f t="shared" si="1"/>
        <v>Short</v>
      </c>
      <c r="G32">
        <v>209</v>
      </c>
      <c r="H32" s="5">
        <v>17005.45</v>
      </c>
      <c r="I32" s="5">
        <v>7534.44</v>
      </c>
      <c r="J32">
        <v>1</v>
      </c>
      <c r="K32">
        <v>7</v>
      </c>
    </row>
    <row r="33" spans="1:11" ht="12" customHeight="1" x14ac:dyDescent="0.25">
      <c r="A33">
        <v>32</v>
      </c>
      <c r="B33" t="s">
        <v>24</v>
      </c>
      <c r="C33">
        <f t="shared" si="0"/>
        <v>1</v>
      </c>
      <c r="D33">
        <v>86</v>
      </c>
      <c r="E33">
        <v>3</v>
      </c>
      <c r="F33" t="str">
        <f t="shared" si="1"/>
        <v>Short</v>
      </c>
      <c r="G33">
        <v>143</v>
      </c>
      <c r="H33" s="5">
        <v>4637.96</v>
      </c>
      <c r="I33" s="5">
        <v>1447.84</v>
      </c>
      <c r="J33">
        <v>5</v>
      </c>
      <c r="K33">
        <v>0</v>
      </c>
    </row>
    <row r="34" spans="1:11" ht="12" customHeight="1" x14ac:dyDescent="0.25">
      <c r="A34">
        <v>33</v>
      </c>
      <c r="B34" t="s">
        <v>24</v>
      </c>
      <c r="C34">
        <f t="shared" ref="C34:C65" si="2">IF(B34="F",1,0)</f>
        <v>1</v>
      </c>
      <c r="D34">
        <v>70</v>
      </c>
      <c r="E34">
        <v>5</v>
      </c>
      <c r="F34" t="str">
        <f t="shared" ref="F34:F65" si="3">IF(E34&lt;4,"Short",IF(E34&lt;=9,"Medium","Long"))</f>
        <v>Medium</v>
      </c>
      <c r="G34">
        <v>209</v>
      </c>
      <c r="H34" s="5">
        <v>17480.97</v>
      </c>
      <c r="I34" s="5">
        <v>7566.98</v>
      </c>
      <c r="J34">
        <v>5</v>
      </c>
      <c r="K34">
        <v>0</v>
      </c>
    </row>
    <row r="35" spans="1:11" ht="12" customHeight="1" x14ac:dyDescent="0.25">
      <c r="A35">
        <v>34</v>
      </c>
      <c r="B35" t="s">
        <v>25</v>
      </c>
      <c r="C35">
        <f t="shared" si="2"/>
        <v>0</v>
      </c>
      <c r="D35">
        <v>72</v>
      </c>
      <c r="E35">
        <v>5</v>
      </c>
      <c r="F35" t="str">
        <f t="shared" si="3"/>
        <v>Medium</v>
      </c>
      <c r="G35">
        <v>96</v>
      </c>
      <c r="H35" s="5">
        <v>5029.09</v>
      </c>
      <c r="I35" s="5">
        <v>3306.8</v>
      </c>
      <c r="J35">
        <v>8</v>
      </c>
      <c r="K35">
        <v>4</v>
      </c>
    </row>
    <row r="36" spans="1:11" ht="12" customHeight="1" x14ac:dyDescent="0.25">
      <c r="A36">
        <v>35</v>
      </c>
      <c r="B36" t="s">
        <v>25</v>
      </c>
      <c r="C36">
        <f t="shared" si="2"/>
        <v>0</v>
      </c>
      <c r="D36">
        <v>91</v>
      </c>
      <c r="E36">
        <v>3</v>
      </c>
      <c r="F36" t="str">
        <f t="shared" si="3"/>
        <v>Short</v>
      </c>
      <c r="G36">
        <v>144</v>
      </c>
      <c r="H36" s="5">
        <v>3078.99</v>
      </c>
      <c r="I36" s="5">
        <v>3351.64</v>
      </c>
      <c r="J36">
        <v>5</v>
      </c>
      <c r="K36">
        <v>4</v>
      </c>
    </row>
    <row r="37" spans="1:11" ht="12" customHeight="1" x14ac:dyDescent="0.25">
      <c r="A37">
        <v>36</v>
      </c>
      <c r="B37" t="s">
        <v>25</v>
      </c>
      <c r="C37">
        <f t="shared" si="2"/>
        <v>0</v>
      </c>
      <c r="D37">
        <v>75</v>
      </c>
      <c r="E37">
        <v>2</v>
      </c>
      <c r="F37" t="str">
        <f t="shared" si="3"/>
        <v>Short</v>
      </c>
      <c r="G37">
        <v>90</v>
      </c>
      <c r="H37" s="5">
        <v>2146.9899999999998</v>
      </c>
      <c r="I37" s="5">
        <v>1968.05</v>
      </c>
      <c r="J37">
        <v>2</v>
      </c>
      <c r="K37">
        <v>4</v>
      </c>
    </row>
    <row r="38" spans="1:11" ht="12" customHeight="1" x14ac:dyDescent="0.25">
      <c r="A38">
        <v>37</v>
      </c>
      <c r="B38" t="s">
        <v>24</v>
      </c>
      <c r="C38">
        <f t="shared" si="2"/>
        <v>1</v>
      </c>
      <c r="D38">
        <v>83</v>
      </c>
      <c r="E38">
        <v>6</v>
      </c>
      <c r="F38" t="str">
        <f t="shared" si="3"/>
        <v>Medium</v>
      </c>
      <c r="G38">
        <v>88</v>
      </c>
      <c r="H38" s="5">
        <v>5482.93</v>
      </c>
      <c r="I38" s="5">
        <v>3147.39</v>
      </c>
      <c r="J38">
        <v>2</v>
      </c>
      <c r="K38">
        <v>0</v>
      </c>
    </row>
    <row r="39" spans="1:11" ht="12" customHeight="1" x14ac:dyDescent="0.25">
      <c r="A39">
        <v>38</v>
      </c>
      <c r="B39" t="s">
        <v>25</v>
      </c>
      <c r="C39">
        <f t="shared" si="2"/>
        <v>0</v>
      </c>
      <c r="D39">
        <v>82</v>
      </c>
      <c r="E39">
        <v>1</v>
      </c>
      <c r="F39" t="str">
        <f t="shared" si="3"/>
        <v>Short</v>
      </c>
      <c r="G39">
        <v>183</v>
      </c>
      <c r="H39" s="5">
        <v>1078.56</v>
      </c>
      <c r="I39" s="5">
        <v>1386.42</v>
      </c>
      <c r="J39">
        <v>6</v>
      </c>
      <c r="K39">
        <v>5</v>
      </c>
    </row>
    <row r="40" spans="1:11" ht="12" customHeight="1" x14ac:dyDescent="0.25">
      <c r="A40">
        <v>39</v>
      </c>
      <c r="B40" t="s">
        <v>24</v>
      </c>
      <c r="C40">
        <f t="shared" si="2"/>
        <v>1</v>
      </c>
      <c r="D40">
        <v>82</v>
      </c>
      <c r="E40">
        <v>10</v>
      </c>
      <c r="F40" t="str">
        <f t="shared" si="3"/>
        <v>Long</v>
      </c>
      <c r="G40">
        <v>430</v>
      </c>
      <c r="H40" s="5">
        <v>9931.2099999999991</v>
      </c>
      <c r="I40" s="5">
        <v>3530</v>
      </c>
      <c r="J40">
        <v>1</v>
      </c>
      <c r="K40">
        <v>0</v>
      </c>
    </row>
    <row r="41" spans="1:11" ht="12" customHeight="1" x14ac:dyDescent="0.25">
      <c r="A41">
        <v>40</v>
      </c>
      <c r="B41" t="s">
        <v>24</v>
      </c>
      <c r="C41">
        <f t="shared" si="2"/>
        <v>1</v>
      </c>
      <c r="D41">
        <v>92</v>
      </c>
      <c r="E41">
        <v>2</v>
      </c>
      <c r="F41" t="str">
        <f t="shared" si="3"/>
        <v>Short</v>
      </c>
      <c r="G41">
        <v>138</v>
      </c>
      <c r="H41" s="5">
        <v>2451.69</v>
      </c>
      <c r="I41" s="5">
        <v>2266.56</v>
      </c>
      <c r="J41">
        <v>2</v>
      </c>
      <c r="K41">
        <v>4</v>
      </c>
    </row>
    <row r="42" spans="1:11" ht="12" customHeight="1" x14ac:dyDescent="0.25">
      <c r="A42">
        <v>41</v>
      </c>
      <c r="B42" t="s">
        <v>24</v>
      </c>
      <c r="C42">
        <f t="shared" si="2"/>
        <v>1</v>
      </c>
      <c r="D42">
        <v>79</v>
      </c>
      <c r="E42">
        <v>2</v>
      </c>
      <c r="F42" t="str">
        <f t="shared" si="3"/>
        <v>Short</v>
      </c>
      <c r="G42">
        <v>88</v>
      </c>
      <c r="H42" s="5">
        <v>2834.68</v>
      </c>
      <c r="I42" s="5">
        <v>3579.24</v>
      </c>
      <c r="J42">
        <v>1</v>
      </c>
      <c r="K42">
        <v>0</v>
      </c>
    </row>
    <row r="43" spans="1:11" ht="12" customHeight="1" x14ac:dyDescent="0.25">
      <c r="A43">
        <v>42</v>
      </c>
      <c r="B43" t="s">
        <v>24</v>
      </c>
      <c r="C43">
        <f t="shared" si="2"/>
        <v>1</v>
      </c>
      <c r="D43">
        <v>69</v>
      </c>
      <c r="E43">
        <v>2</v>
      </c>
      <c r="F43" t="str">
        <f t="shared" si="3"/>
        <v>Short</v>
      </c>
      <c r="G43">
        <v>447</v>
      </c>
      <c r="H43" s="5">
        <v>1547.81</v>
      </c>
      <c r="I43" s="5">
        <v>988</v>
      </c>
      <c r="J43">
        <v>3</v>
      </c>
      <c r="K43">
        <v>0</v>
      </c>
    </row>
    <row r="44" spans="1:11" ht="12" customHeight="1" x14ac:dyDescent="0.25">
      <c r="A44">
        <v>43</v>
      </c>
      <c r="B44" t="s">
        <v>24</v>
      </c>
      <c r="C44">
        <f t="shared" si="2"/>
        <v>1</v>
      </c>
      <c r="D44">
        <v>76</v>
      </c>
      <c r="E44">
        <v>3</v>
      </c>
      <c r="F44" t="str">
        <f t="shared" si="3"/>
        <v>Short</v>
      </c>
      <c r="G44">
        <v>183</v>
      </c>
      <c r="H44" s="5">
        <v>1876.7</v>
      </c>
      <c r="I44" s="5">
        <v>1235.8</v>
      </c>
      <c r="J44">
        <v>1</v>
      </c>
      <c r="K44">
        <v>0</v>
      </c>
    </row>
    <row r="45" spans="1:11" ht="12" customHeight="1" x14ac:dyDescent="0.25">
      <c r="A45">
        <v>44</v>
      </c>
      <c r="B45" t="s">
        <v>25</v>
      </c>
      <c r="C45">
        <f t="shared" si="2"/>
        <v>0</v>
      </c>
      <c r="D45">
        <v>73</v>
      </c>
      <c r="E45">
        <v>2</v>
      </c>
      <c r="F45" t="str">
        <f t="shared" si="3"/>
        <v>Short</v>
      </c>
      <c r="G45">
        <v>140</v>
      </c>
      <c r="H45" s="5">
        <v>2781.28</v>
      </c>
      <c r="I45" s="5">
        <v>1483.79</v>
      </c>
      <c r="J45">
        <v>4</v>
      </c>
      <c r="K45">
        <v>0</v>
      </c>
    </row>
    <row r="46" spans="1:11" ht="12" customHeight="1" x14ac:dyDescent="0.25">
      <c r="A46">
        <v>45</v>
      </c>
      <c r="B46" t="s">
        <v>24</v>
      </c>
      <c r="C46">
        <f t="shared" si="2"/>
        <v>1</v>
      </c>
      <c r="D46">
        <v>83</v>
      </c>
      <c r="E46">
        <v>6</v>
      </c>
      <c r="F46" t="str">
        <f t="shared" si="3"/>
        <v>Medium</v>
      </c>
      <c r="G46">
        <v>127</v>
      </c>
      <c r="H46" s="5">
        <v>6460.59</v>
      </c>
      <c r="I46" s="5">
        <v>3993.48</v>
      </c>
      <c r="J46">
        <v>5</v>
      </c>
      <c r="K46">
        <v>0</v>
      </c>
    </row>
    <row r="47" spans="1:11" ht="12" customHeight="1" x14ac:dyDescent="0.25">
      <c r="A47">
        <v>46</v>
      </c>
      <c r="B47" t="s">
        <v>24</v>
      </c>
      <c r="C47">
        <f t="shared" si="2"/>
        <v>1</v>
      </c>
      <c r="D47">
        <v>80</v>
      </c>
      <c r="E47">
        <v>4</v>
      </c>
      <c r="F47" t="str">
        <f t="shared" si="3"/>
        <v>Medium</v>
      </c>
      <c r="G47">
        <v>444</v>
      </c>
      <c r="H47" s="5">
        <v>3026.42</v>
      </c>
      <c r="I47" s="5">
        <v>1918.32</v>
      </c>
      <c r="J47">
        <v>1</v>
      </c>
      <c r="K47">
        <v>6</v>
      </c>
    </row>
    <row r="48" spans="1:11" ht="12" customHeight="1" x14ac:dyDescent="0.25">
      <c r="A48">
        <v>47</v>
      </c>
      <c r="B48" t="s">
        <v>24</v>
      </c>
      <c r="C48">
        <f t="shared" si="2"/>
        <v>1</v>
      </c>
      <c r="D48">
        <v>76</v>
      </c>
      <c r="E48">
        <v>10</v>
      </c>
      <c r="F48" t="str">
        <f t="shared" si="3"/>
        <v>Long</v>
      </c>
      <c r="G48">
        <v>493</v>
      </c>
      <c r="H48" s="5">
        <v>14769.92</v>
      </c>
      <c r="I48" s="5">
        <v>5594.68</v>
      </c>
      <c r="J48">
        <v>4</v>
      </c>
      <c r="K48">
        <v>5</v>
      </c>
    </row>
    <row r="49" spans="1:11" ht="12" customHeight="1" x14ac:dyDescent="0.25">
      <c r="A49">
        <v>48</v>
      </c>
      <c r="B49" t="s">
        <v>24</v>
      </c>
      <c r="C49">
        <f t="shared" si="2"/>
        <v>1</v>
      </c>
      <c r="D49">
        <v>77</v>
      </c>
      <c r="E49">
        <v>7</v>
      </c>
      <c r="F49" t="str">
        <f t="shared" si="3"/>
        <v>Medium</v>
      </c>
      <c r="G49">
        <v>324</v>
      </c>
      <c r="H49" s="5">
        <v>4425.4399999999996</v>
      </c>
      <c r="I49" s="5">
        <v>1531.55</v>
      </c>
      <c r="J49">
        <v>5</v>
      </c>
      <c r="K49">
        <v>5</v>
      </c>
    </row>
    <row r="50" spans="1:11" ht="12" customHeight="1" x14ac:dyDescent="0.25">
      <c r="A50">
        <v>49</v>
      </c>
      <c r="B50" t="s">
        <v>24</v>
      </c>
      <c r="C50">
        <f t="shared" si="2"/>
        <v>1</v>
      </c>
      <c r="D50">
        <v>85</v>
      </c>
      <c r="E50">
        <v>4</v>
      </c>
      <c r="F50" t="str">
        <f t="shared" si="3"/>
        <v>Medium</v>
      </c>
      <c r="G50">
        <v>140</v>
      </c>
      <c r="H50" s="5">
        <v>5151.5200000000004</v>
      </c>
      <c r="I50" s="5">
        <v>1710.79</v>
      </c>
      <c r="J50">
        <v>5</v>
      </c>
      <c r="K50">
        <v>0</v>
      </c>
    </row>
    <row r="51" spans="1:11" ht="12" customHeight="1" x14ac:dyDescent="0.25">
      <c r="A51">
        <v>50</v>
      </c>
      <c r="B51" t="s">
        <v>24</v>
      </c>
      <c r="C51">
        <f t="shared" si="2"/>
        <v>1</v>
      </c>
      <c r="D51">
        <v>70</v>
      </c>
      <c r="E51">
        <v>1</v>
      </c>
      <c r="F51" t="str">
        <f t="shared" si="3"/>
        <v>Short</v>
      </c>
      <c r="G51">
        <v>140</v>
      </c>
      <c r="H51" s="5">
        <v>2404.39</v>
      </c>
      <c r="I51" s="5">
        <v>735.58</v>
      </c>
      <c r="J51">
        <v>1</v>
      </c>
      <c r="K51">
        <v>4</v>
      </c>
    </row>
    <row r="52" spans="1:11" ht="12" customHeight="1" x14ac:dyDescent="0.25">
      <c r="A52">
        <v>51</v>
      </c>
      <c r="B52" t="s">
        <v>25</v>
      </c>
      <c r="C52">
        <f t="shared" si="2"/>
        <v>0</v>
      </c>
      <c r="D52">
        <v>81</v>
      </c>
      <c r="E52">
        <v>2</v>
      </c>
      <c r="F52" t="str">
        <f t="shared" si="3"/>
        <v>Short</v>
      </c>
      <c r="G52">
        <v>140</v>
      </c>
      <c r="H52" s="5">
        <v>5019.8599999999997</v>
      </c>
      <c r="I52" s="5">
        <v>1730.79</v>
      </c>
      <c r="J52">
        <v>2</v>
      </c>
      <c r="K52">
        <v>0</v>
      </c>
    </row>
    <row r="53" spans="1:11" ht="12" customHeight="1" x14ac:dyDescent="0.25">
      <c r="A53">
        <v>52</v>
      </c>
      <c r="B53" t="s">
        <v>24</v>
      </c>
      <c r="C53">
        <f t="shared" si="2"/>
        <v>1</v>
      </c>
      <c r="D53">
        <v>83</v>
      </c>
      <c r="E53">
        <v>9</v>
      </c>
      <c r="F53" t="str">
        <f t="shared" si="3"/>
        <v>Medium</v>
      </c>
      <c r="G53">
        <v>138</v>
      </c>
      <c r="H53" s="5">
        <v>10421.01</v>
      </c>
      <c r="I53" s="5">
        <v>2384.12</v>
      </c>
      <c r="J53">
        <v>5</v>
      </c>
      <c r="K53">
        <v>0</v>
      </c>
    </row>
    <row r="54" spans="1:11" ht="12" customHeight="1" x14ac:dyDescent="0.25">
      <c r="A54">
        <v>53</v>
      </c>
      <c r="B54" t="s">
        <v>25</v>
      </c>
      <c r="C54">
        <f t="shared" si="2"/>
        <v>0</v>
      </c>
      <c r="D54">
        <v>76</v>
      </c>
      <c r="E54">
        <v>2</v>
      </c>
      <c r="F54" t="str">
        <f t="shared" si="3"/>
        <v>Short</v>
      </c>
      <c r="G54">
        <v>269</v>
      </c>
      <c r="H54" s="5">
        <v>4860.83</v>
      </c>
      <c r="I54" s="5">
        <v>5688.67</v>
      </c>
      <c r="J54">
        <v>4</v>
      </c>
      <c r="K54">
        <v>1</v>
      </c>
    </row>
    <row r="55" spans="1:11" ht="12" customHeight="1" x14ac:dyDescent="0.25">
      <c r="A55">
        <v>54</v>
      </c>
      <c r="B55" t="s">
        <v>24</v>
      </c>
      <c r="C55">
        <f t="shared" si="2"/>
        <v>1</v>
      </c>
      <c r="D55">
        <v>88</v>
      </c>
      <c r="E55">
        <v>3</v>
      </c>
      <c r="F55" t="str">
        <f t="shared" si="3"/>
        <v>Short</v>
      </c>
      <c r="G55">
        <v>140</v>
      </c>
      <c r="H55" s="5">
        <v>2694.11</v>
      </c>
      <c r="I55" s="5">
        <v>1564.5</v>
      </c>
      <c r="J55">
        <v>2</v>
      </c>
      <c r="K55">
        <v>0</v>
      </c>
    </row>
    <row r="56" spans="1:11" ht="12" customHeight="1" x14ac:dyDescent="0.25">
      <c r="A56">
        <v>55</v>
      </c>
      <c r="B56" t="s">
        <v>25</v>
      </c>
      <c r="C56">
        <f t="shared" si="2"/>
        <v>0</v>
      </c>
      <c r="D56">
        <v>88</v>
      </c>
      <c r="E56">
        <v>4</v>
      </c>
      <c r="F56" t="str">
        <f t="shared" si="3"/>
        <v>Medium</v>
      </c>
      <c r="G56">
        <v>208</v>
      </c>
      <c r="H56" s="5">
        <v>2421.63</v>
      </c>
      <c r="I56" s="5">
        <v>1346.94</v>
      </c>
      <c r="J56">
        <v>2</v>
      </c>
      <c r="K56">
        <v>0</v>
      </c>
    </row>
    <row r="57" spans="1:11" ht="12" customHeight="1" x14ac:dyDescent="0.25">
      <c r="A57">
        <v>56</v>
      </c>
      <c r="B57" t="s">
        <v>24</v>
      </c>
      <c r="C57">
        <f t="shared" si="2"/>
        <v>1</v>
      </c>
      <c r="D57">
        <v>89</v>
      </c>
      <c r="E57">
        <v>2</v>
      </c>
      <c r="F57" t="str">
        <f t="shared" si="3"/>
        <v>Short</v>
      </c>
      <c r="G57">
        <v>15</v>
      </c>
      <c r="H57" s="5">
        <v>3311.66</v>
      </c>
      <c r="I57" s="5">
        <v>2065.4899999999998</v>
      </c>
      <c r="J57">
        <v>3</v>
      </c>
      <c r="K57">
        <v>0</v>
      </c>
    </row>
    <row r="58" spans="1:11" ht="12" customHeight="1" x14ac:dyDescent="0.25">
      <c r="A58">
        <v>57</v>
      </c>
      <c r="B58" t="s">
        <v>25</v>
      </c>
      <c r="C58">
        <f t="shared" si="2"/>
        <v>0</v>
      </c>
      <c r="D58">
        <v>39</v>
      </c>
      <c r="E58">
        <v>1</v>
      </c>
      <c r="F58" t="str">
        <f t="shared" si="3"/>
        <v>Short</v>
      </c>
      <c r="G58">
        <v>434</v>
      </c>
      <c r="H58" s="5">
        <v>1596.91</v>
      </c>
      <c r="I58" s="5">
        <v>392</v>
      </c>
      <c r="J58">
        <v>5</v>
      </c>
      <c r="K58">
        <v>3</v>
      </c>
    </row>
    <row r="59" spans="1:11" ht="12" customHeight="1" x14ac:dyDescent="0.25">
      <c r="A59">
        <v>58</v>
      </c>
      <c r="B59" t="s">
        <v>24</v>
      </c>
      <c r="C59">
        <f t="shared" si="2"/>
        <v>1</v>
      </c>
      <c r="D59">
        <v>89</v>
      </c>
      <c r="E59">
        <v>5</v>
      </c>
      <c r="F59" t="str">
        <f t="shared" si="3"/>
        <v>Medium</v>
      </c>
      <c r="G59">
        <v>88</v>
      </c>
      <c r="H59" s="5">
        <v>5399.67</v>
      </c>
      <c r="I59" s="5">
        <v>3048.91</v>
      </c>
      <c r="J59">
        <v>4</v>
      </c>
      <c r="K59">
        <v>4</v>
      </c>
    </row>
    <row r="60" spans="1:11" ht="12" customHeight="1" x14ac:dyDescent="0.25">
      <c r="A60">
        <v>59</v>
      </c>
      <c r="B60" t="s">
        <v>25</v>
      </c>
      <c r="C60">
        <f t="shared" si="2"/>
        <v>0</v>
      </c>
      <c r="D60">
        <v>80</v>
      </c>
      <c r="E60">
        <v>12</v>
      </c>
      <c r="F60" t="str">
        <f t="shared" si="3"/>
        <v>Long</v>
      </c>
      <c r="G60">
        <v>78</v>
      </c>
      <c r="H60" s="5">
        <v>17605.59</v>
      </c>
      <c r="I60" s="5">
        <v>4432.93</v>
      </c>
      <c r="J60">
        <v>9</v>
      </c>
      <c r="K60">
        <v>7</v>
      </c>
    </row>
    <row r="61" spans="1:11" ht="12" customHeight="1" x14ac:dyDescent="0.25">
      <c r="A61">
        <v>60</v>
      </c>
      <c r="B61" t="s">
        <v>24</v>
      </c>
      <c r="C61">
        <f t="shared" si="2"/>
        <v>1</v>
      </c>
      <c r="D61">
        <v>71</v>
      </c>
      <c r="E61">
        <v>7</v>
      </c>
      <c r="F61" t="str">
        <f t="shared" si="3"/>
        <v>Medium</v>
      </c>
      <c r="G61">
        <v>89</v>
      </c>
      <c r="H61" s="5">
        <v>11098.7</v>
      </c>
      <c r="I61" s="5">
        <v>4256.7</v>
      </c>
      <c r="J61">
        <v>3</v>
      </c>
      <c r="K61">
        <v>4</v>
      </c>
    </row>
    <row r="62" spans="1:11" ht="12" customHeight="1" x14ac:dyDescent="0.25">
      <c r="A62">
        <v>61</v>
      </c>
      <c r="B62" t="s">
        <v>24</v>
      </c>
      <c r="C62">
        <f t="shared" si="2"/>
        <v>1</v>
      </c>
      <c r="D62">
        <v>90</v>
      </c>
      <c r="E62">
        <v>4</v>
      </c>
      <c r="F62" t="str">
        <f t="shared" si="3"/>
        <v>Medium</v>
      </c>
      <c r="G62">
        <v>89</v>
      </c>
      <c r="H62" s="5">
        <v>3674.03</v>
      </c>
      <c r="I62" s="5">
        <v>3609.84</v>
      </c>
      <c r="J62">
        <v>3</v>
      </c>
      <c r="K62">
        <v>0</v>
      </c>
    </row>
    <row r="63" spans="1:11" ht="12" customHeight="1" x14ac:dyDescent="0.25">
      <c r="A63">
        <v>62</v>
      </c>
      <c r="B63" t="s">
        <v>25</v>
      </c>
      <c r="C63">
        <f t="shared" si="2"/>
        <v>0</v>
      </c>
      <c r="D63">
        <v>91</v>
      </c>
      <c r="E63">
        <v>4</v>
      </c>
      <c r="F63" t="str">
        <f t="shared" si="3"/>
        <v>Medium</v>
      </c>
      <c r="G63">
        <v>316</v>
      </c>
      <c r="H63" s="5">
        <v>3720.09</v>
      </c>
      <c r="I63" s="5">
        <v>4269.96</v>
      </c>
      <c r="J63">
        <v>6</v>
      </c>
      <c r="K63">
        <v>2</v>
      </c>
    </row>
    <row r="64" spans="1:11" ht="12" customHeight="1" x14ac:dyDescent="0.25">
      <c r="A64">
        <v>63</v>
      </c>
      <c r="B64" t="s">
        <v>24</v>
      </c>
      <c r="C64">
        <f t="shared" si="2"/>
        <v>1</v>
      </c>
      <c r="D64">
        <v>73</v>
      </c>
      <c r="E64">
        <v>1</v>
      </c>
      <c r="F64" t="str">
        <f t="shared" si="3"/>
        <v>Short</v>
      </c>
      <c r="G64">
        <v>140</v>
      </c>
      <c r="H64" s="5">
        <v>2472.64</v>
      </c>
      <c r="I64" s="5">
        <v>2356.0500000000002</v>
      </c>
      <c r="J64">
        <v>4</v>
      </c>
      <c r="K64">
        <v>0</v>
      </c>
    </row>
    <row r="65" spans="1:11" ht="12" customHeight="1" x14ac:dyDescent="0.25">
      <c r="A65">
        <v>64</v>
      </c>
      <c r="B65" t="s">
        <v>24</v>
      </c>
      <c r="C65">
        <f t="shared" si="2"/>
        <v>1</v>
      </c>
      <c r="D65">
        <v>77</v>
      </c>
      <c r="E65">
        <v>7</v>
      </c>
      <c r="F65" t="str">
        <f t="shared" si="3"/>
        <v>Medium</v>
      </c>
      <c r="G65">
        <v>166</v>
      </c>
      <c r="H65" s="5">
        <v>7792.24</v>
      </c>
      <c r="I65" s="5">
        <v>4538.13</v>
      </c>
      <c r="J65">
        <v>1</v>
      </c>
      <c r="K65">
        <v>5</v>
      </c>
    </row>
    <row r="66" spans="1:11" ht="12" customHeight="1" x14ac:dyDescent="0.25">
      <c r="A66">
        <v>65</v>
      </c>
      <c r="B66" t="s">
        <v>24</v>
      </c>
      <c r="C66">
        <f t="shared" ref="C66:C97" si="4">IF(B66="F",1,0)</f>
        <v>1</v>
      </c>
      <c r="D66">
        <v>78</v>
      </c>
      <c r="E66">
        <v>2</v>
      </c>
      <c r="F66" t="str">
        <f t="shared" ref="F66:F97" si="5">IF(E66&lt;4,"Short",IF(E66&lt;=9,"Medium","Long"))</f>
        <v>Short</v>
      </c>
      <c r="G66">
        <v>175</v>
      </c>
      <c r="H66" s="5">
        <v>3489.88</v>
      </c>
      <c r="I66" s="5">
        <v>1430.32</v>
      </c>
      <c r="J66">
        <v>3</v>
      </c>
      <c r="K66">
        <v>5</v>
      </c>
    </row>
    <row r="67" spans="1:11" ht="12" customHeight="1" x14ac:dyDescent="0.25">
      <c r="A67">
        <v>66</v>
      </c>
      <c r="B67" t="s">
        <v>24</v>
      </c>
      <c r="C67">
        <f t="shared" si="4"/>
        <v>1</v>
      </c>
      <c r="D67">
        <v>79</v>
      </c>
      <c r="E67">
        <v>4</v>
      </c>
      <c r="F67" t="str">
        <f t="shared" si="5"/>
        <v>Medium</v>
      </c>
      <c r="G67">
        <v>203</v>
      </c>
      <c r="H67" s="5">
        <v>4655.83</v>
      </c>
      <c r="I67" s="5">
        <v>3965.21</v>
      </c>
      <c r="J67">
        <v>9</v>
      </c>
      <c r="K67">
        <v>6</v>
      </c>
    </row>
    <row r="68" spans="1:11" ht="12" customHeight="1" x14ac:dyDescent="0.25">
      <c r="A68">
        <v>67</v>
      </c>
      <c r="B68" t="s">
        <v>24</v>
      </c>
      <c r="C68">
        <f t="shared" si="4"/>
        <v>1</v>
      </c>
      <c r="D68">
        <v>85</v>
      </c>
      <c r="E68">
        <v>14</v>
      </c>
      <c r="F68" t="str">
        <f t="shared" si="5"/>
        <v>Long</v>
      </c>
      <c r="G68">
        <v>87</v>
      </c>
      <c r="H68" s="5">
        <v>10242.5</v>
      </c>
      <c r="I68" s="5">
        <v>4531.6499999999996</v>
      </c>
      <c r="J68">
        <v>6</v>
      </c>
      <c r="K68">
        <v>0</v>
      </c>
    </row>
    <row r="69" spans="1:11" ht="12" customHeight="1" x14ac:dyDescent="0.25">
      <c r="A69">
        <v>68</v>
      </c>
      <c r="B69" t="s">
        <v>24</v>
      </c>
      <c r="C69">
        <f t="shared" si="4"/>
        <v>1</v>
      </c>
      <c r="D69">
        <v>74</v>
      </c>
      <c r="E69">
        <v>1</v>
      </c>
      <c r="F69" t="str">
        <f t="shared" si="5"/>
        <v>Short</v>
      </c>
      <c r="G69">
        <v>296</v>
      </c>
      <c r="H69" s="5">
        <v>1599.82</v>
      </c>
      <c r="I69" s="5">
        <v>2628.95</v>
      </c>
      <c r="J69">
        <v>3</v>
      </c>
      <c r="K69">
        <v>0</v>
      </c>
    </row>
    <row r="70" spans="1:11" ht="12" customHeight="1" x14ac:dyDescent="0.25">
      <c r="A70">
        <v>69</v>
      </c>
      <c r="B70" t="s">
        <v>25</v>
      </c>
      <c r="C70">
        <f t="shared" si="4"/>
        <v>0</v>
      </c>
      <c r="D70">
        <v>78</v>
      </c>
      <c r="E70">
        <v>10</v>
      </c>
      <c r="F70" t="str">
        <f t="shared" si="5"/>
        <v>Long</v>
      </c>
      <c r="G70">
        <v>294</v>
      </c>
      <c r="H70" s="5">
        <v>6015.34</v>
      </c>
      <c r="I70" s="5">
        <v>2003.62</v>
      </c>
      <c r="J70">
        <v>5</v>
      </c>
      <c r="K70">
        <v>0</v>
      </c>
    </row>
    <row r="71" spans="1:11" ht="12" customHeight="1" x14ac:dyDescent="0.25">
      <c r="A71">
        <v>70</v>
      </c>
      <c r="B71" t="s">
        <v>24</v>
      </c>
      <c r="C71">
        <f t="shared" si="4"/>
        <v>1</v>
      </c>
      <c r="D71">
        <v>92</v>
      </c>
      <c r="E71">
        <v>2</v>
      </c>
      <c r="F71" t="str">
        <f t="shared" si="5"/>
        <v>Short</v>
      </c>
      <c r="G71">
        <v>127</v>
      </c>
      <c r="H71" s="5">
        <v>1905.65</v>
      </c>
      <c r="I71" s="5">
        <v>3993.48</v>
      </c>
      <c r="J71">
        <v>5</v>
      </c>
      <c r="K71">
        <v>0</v>
      </c>
    </row>
    <row r="72" spans="1:11" ht="12" customHeight="1" x14ac:dyDescent="0.25">
      <c r="A72">
        <v>71</v>
      </c>
      <c r="B72" t="s">
        <v>25</v>
      </c>
      <c r="C72">
        <f t="shared" si="4"/>
        <v>0</v>
      </c>
      <c r="D72">
        <v>56</v>
      </c>
      <c r="E72">
        <v>1</v>
      </c>
      <c r="F72" t="str">
        <f t="shared" si="5"/>
        <v>Short</v>
      </c>
      <c r="G72">
        <v>294</v>
      </c>
      <c r="H72" s="5">
        <v>707.7</v>
      </c>
      <c r="I72" s="5">
        <v>2102.0100000000002</v>
      </c>
      <c r="J72">
        <v>3</v>
      </c>
      <c r="K72">
        <v>2</v>
      </c>
    </row>
    <row r="73" spans="1:11" ht="12" customHeight="1" x14ac:dyDescent="0.25">
      <c r="A73">
        <v>72</v>
      </c>
      <c r="B73" t="s">
        <v>25</v>
      </c>
      <c r="C73">
        <f t="shared" si="4"/>
        <v>0</v>
      </c>
      <c r="D73">
        <v>76</v>
      </c>
      <c r="E73">
        <v>2</v>
      </c>
      <c r="F73" t="str">
        <f t="shared" si="5"/>
        <v>Short</v>
      </c>
      <c r="G73">
        <v>183</v>
      </c>
      <c r="H73" s="5">
        <v>3004.67</v>
      </c>
      <c r="I73" s="5">
        <v>1423.87</v>
      </c>
      <c r="J73">
        <v>4</v>
      </c>
      <c r="K73">
        <v>5</v>
      </c>
    </row>
    <row r="74" spans="1:11" ht="12" customHeight="1" x14ac:dyDescent="0.25">
      <c r="A74">
        <v>73</v>
      </c>
      <c r="B74" t="s">
        <v>24</v>
      </c>
      <c r="C74">
        <f t="shared" si="4"/>
        <v>1</v>
      </c>
      <c r="D74">
        <v>84</v>
      </c>
      <c r="E74">
        <v>10</v>
      </c>
      <c r="F74" t="str">
        <f t="shared" si="5"/>
        <v>Long</v>
      </c>
      <c r="G74">
        <v>197</v>
      </c>
      <c r="H74" s="5">
        <v>18290.04</v>
      </c>
      <c r="I74" s="5">
        <v>6862.34</v>
      </c>
      <c r="J74">
        <v>5</v>
      </c>
      <c r="K74">
        <v>0</v>
      </c>
    </row>
    <row r="75" spans="1:11" ht="12" customHeight="1" x14ac:dyDescent="0.25">
      <c r="A75">
        <v>74</v>
      </c>
      <c r="B75" t="s">
        <v>24</v>
      </c>
      <c r="C75">
        <f t="shared" si="4"/>
        <v>1</v>
      </c>
      <c r="D75">
        <v>75</v>
      </c>
      <c r="E75">
        <v>3</v>
      </c>
      <c r="F75" t="str">
        <f t="shared" si="5"/>
        <v>Short</v>
      </c>
      <c r="G75">
        <v>132</v>
      </c>
      <c r="H75" s="5">
        <v>5621.92</v>
      </c>
      <c r="I75" s="5">
        <v>1772.78</v>
      </c>
      <c r="J75">
        <v>5</v>
      </c>
      <c r="K75">
        <v>7</v>
      </c>
    </row>
    <row r="76" spans="1:11" ht="12" customHeight="1" x14ac:dyDescent="0.25">
      <c r="A76">
        <v>75</v>
      </c>
      <c r="B76" t="s">
        <v>24</v>
      </c>
      <c r="C76">
        <f t="shared" si="4"/>
        <v>1</v>
      </c>
      <c r="D76">
        <v>68</v>
      </c>
      <c r="E76">
        <v>7</v>
      </c>
      <c r="F76" t="str">
        <f t="shared" si="5"/>
        <v>Medium</v>
      </c>
      <c r="G76">
        <v>240</v>
      </c>
      <c r="H76" s="5">
        <v>5547.71</v>
      </c>
      <c r="I76" s="5">
        <v>4565.4799999999996</v>
      </c>
      <c r="J76">
        <v>5</v>
      </c>
      <c r="K76">
        <v>7</v>
      </c>
    </row>
    <row r="77" spans="1:11" ht="12" customHeight="1" x14ac:dyDescent="0.25">
      <c r="A77">
        <v>76</v>
      </c>
      <c r="B77" t="s">
        <v>25</v>
      </c>
      <c r="C77">
        <f t="shared" si="4"/>
        <v>0</v>
      </c>
      <c r="D77">
        <v>50</v>
      </c>
      <c r="E77">
        <v>2</v>
      </c>
      <c r="F77" t="str">
        <f t="shared" si="5"/>
        <v>Short</v>
      </c>
      <c r="G77">
        <v>182</v>
      </c>
      <c r="H77" s="5">
        <v>2581.7199999999998</v>
      </c>
      <c r="I77" s="5">
        <v>2238.61</v>
      </c>
      <c r="J77">
        <v>3</v>
      </c>
      <c r="K77">
        <v>5</v>
      </c>
    </row>
    <row r="78" spans="1:11" ht="12" customHeight="1" x14ac:dyDescent="0.25">
      <c r="A78">
        <v>77</v>
      </c>
      <c r="B78" t="s">
        <v>25</v>
      </c>
      <c r="C78">
        <f t="shared" si="4"/>
        <v>0</v>
      </c>
      <c r="D78">
        <v>49</v>
      </c>
      <c r="E78">
        <v>9</v>
      </c>
      <c r="F78" t="str">
        <f t="shared" si="5"/>
        <v>Medium</v>
      </c>
      <c r="G78">
        <v>436</v>
      </c>
      <c r="H78" s="5">
        <v>7024.64</v>
      </c>
      <c r="I78" s="5">
        <v>2441</v>
      </c>
      <c r="J78">
        <v>5</v>
      </c>
      <c r="K78">
        <v>0</v>
      </c>
    </row>
    <row r="79" spans="1:11" ht="12" customHeight="1" x14ac:dyDescent="0.25">
      <c r="A79">
        <v>78</v>
      </c>
      <c r="B79" t="s">
        <v>25</v>
      </c>
      <c r="C79">
        <f t="shared" si="4"/>
        <v>0</v>
      </c>
      <c r="D79">
        <v>76</v>
      </c>
      <c r="E79">
        <v>3</v>
      </c>
      <c r="F79" t="str">
        <f t="shared" si="5"/>
        <v>Short</v>
      </c>
      <c r="G79">
        <v>175</v>
      </c>
      <c r="H79" s="5">
        <v>4242.1000000000004</v>
      </c>
      <c r="I79" s="5">
        <v>1344.35</v>
      </c>
      <c r="J79">
        <v>4</v>
      </c>
      <c r="K79">
        <v>5</v>
      </c>
    </row>
    <row r="80" spans="1:11" ht="12" customHeight="1" x14ac:dyDescent="0.25">
      <c r="A80">
        <v>79</v>
      </c>
      <c r="B80" t="s">
        <v>25</v>
      </c>
      <c r="C80">
        <f t="shared" si="4"/>
        <v>0</v>
      </c>
      <c r="D80">
        <v>76</v>
      </c>
      <c r="E80">
        <v>3</v>
      </c>
      <c r="F80" t="str">
        <f t="shared" si="5"/>
        <v>Short</v>
      </c>
      <c r="G80">
        <v>207</v>
      </c>
      <c r="H80" s="5">
        <v>4286.8999999999996</v>
      </c>
      <c r="I80" s="5">
        <v>3045.51</v>
      </c>
      <c r="J80">
        <v>2</v>
      </c>
      <c r="K80">
        <v>5</v>
      </c>
    </row>
    <row r="81" spans="1:11" ht="12" customHeight="1" x14ac:dyDescent="0.25">
      <c r="A81">
        <v>80</v>
      </c>
      <c r="B81" t="s">
        <v>24</v>
      </c>
      <c r="C81">
        <f t="shared" si="4"/>
        <v>1</v>
      </c>
      <c r="D81">
        <v>67</v>
      </c>
      <c r="E81">
        <v>2</v>
      </c>
      <c r="F81" t="str">
        <f t="shared" si="5"/>
        <v>Short</v>
      </c>
      <c r="G81">
        <v>359</v>
      </c>
      <c r="H81" s="5">
        <v>12313.78</v>
      </c>
      <c r="I81" s="5">
        <v>2393.04</v>
      </c>
      <c r="J81">
        <v>3</v>
      </c>
      <c r="K81">
        <v>0</v>
      </c>
    </row>
    <row r="82" spans="1:11" ht="12" customHeight="1" x14ac:dyDescent="0.25">
      <c r="A82">
        <v>81</v>
      </c>
      <c r="B82" t="s">
        <v>25</v>
      </c>
      <c r="C82">
        <f t="shared" si="4"/>
        <v>0</v>
      </c>
      <c r="D82">
        <v>96</v>
      </c>
      <c r="E82">
        <v>11</v>
      </c>
      <c r="F82" t="str">
        <f t="shared" si="5"/>
        <v>Long</v>
      </c>
      <c r="G82">
        <v>79</v>
      </c>
      <c r="H82" s="5">
        <v>8217.27</v>
      </c>
      <c r="I82" s="5">
        <v>5462.63</v>
      </c>
      <c r="J82">
        <v>4</v>
      </c>
      <c r="K82">
        <v>0</v>
      </c>
    </row>
    <row r="83" spans="1:11" ht="12" customHeight="1" x14ac:dyDescent="0.25">
      <c r="A83">
        <v>82</v>
      </c>
      <c r="B83" t="s">
        <v>24</v>
      </c>
      <c r="C83">
        <f t="shared" si="4"/>
        <v>1</v>
      </c>
      <c r="D83">
        <v>83</v>
      </c>
      <c r="E83">
        <v>16</v>
      </c>
      <c r="F83" t="str">
        <f t="shared" si="5"/>
        <v>Long</v>
      </c>
      <c r="G83">
        <v>127</v>
      </c>
      <c r="H83" s="5">
        <v>10655.8</v>
      </c>
      <c r="I83" s="5">
        <v>3277.48</v>
      </c>
      <c r="J83">
        <v>5</v>
      </c>
      <c r="K83">
        <v>0</v>
      </c>
    </row>
    <row r="84" spans="1:11" ht="12" customHeight="1" x14ac:dyDescent="0.25">
      <c r="A84">
        <v>83</v>
      </c>
      <c r="B84" t="s">
        <v>24</v>
      </c>
      <c r="C84">
        <f t="shared" si="4"/>
        <v>1</v>
      </c>
      <c r="D84">
        <v>77</v>
      </c>
      <c r="E84">
        <v>3</v>
      </c>
      <c r="F84" t="str">
        <f t="shared" si="5"/>
        <v>Short</v>
      </c>
      <c r="G84">
        <v>182</v>
      </c>
      <c r="H84" s="5">
        <v>3620.78</v>
      </c>
      <c r="I84" s="5">
        <v>2064.4299999999998</v>
      </c>
      <c r="J84">
        <v>5</v>
      </c>
      <c r="K84">
        <v>5</v>
      </c>
    </row>
    <row r="85" spans="1:11" ht="12" customHeight="1" x14ac:dyDescent="0.25">
      <c r="A85">
        <v>84</v>
      </c>
      <c r="B85" t="s">
        <v>25</v>
      </c>
      <c r="C85">
        <f t="shared" si="4"/>
        <v>0</v>
      </c>
      <c r="D85">
        <v>86</v>
      </c>
      <c r="E85">
        <v>5</v>
      </c>
      <c r="F85" t="str">
        <f t="shared" si="5"/>
        <v>Medium</v>
      </c>
      <c r="G85">
        <v>346</v>
      </c>
      <c r="H85" s="5">
        <v>4734.9799999999996</v>
      </c>
      <c r="I85" s="5">
        <v>3731.44</v>
      </c>
      <c r="J85">
        <v>2</v>
      </c>
      <c r="K85">
        <v>0</v>
      </c>
    </row>
    <row r="86" spans="1:11" ht="12" customHeight="1" x14ac:dyDescent="0.25">
      <c r="A86">
        <v>85</v>
      </c>
      <c r="B86" t="s">
        <v>24</v>
      </c>
      <c r="C86">
        <f t="shared" si="4"/>
        <v>1</v>
      </c>
      <c r="D86">
        <v>80</v>
      </c>
      <c r="E86">
        <v>1</v>
      </c>
      <c r="F86" t="str">
        <f t="shared" si="5"/>
        <v>Short</v>
      </c>
      <c r="G86">
        <v>140</v>
      </c>
      <c r="H86" s="5">
        <v>1820.41</v>
      </c>
      <c r="I86" s="5">
        <v>1564.5</v>
      </c>
      <c r="J86">
        <v>2</v>
      </c>
      <c r="K86">
        <v>0</v>
      </c>
    </row>
    <row r="87" spans="1:11" ht="12" customHeight="1" x14ac:dyDescent="0.25">
      <c r="A87">
        <v>86</v>
      </c>
      <c r="B87" t="s">
        <v>24</v>
      </c>
      <c r="C87">
        <f t="shared" si="4"/>
        <v>1</v>
      </c>
      <c r="D87">
        <v>61</v>
      </c>
      <c r="E87">
        <v>8</v>
      </c>
      <c r="F87" t="str">
        <f t="shared" si="5"/>
        <v>Medium</v>
      </c>
      <c r="G87">
        <v>296</v>
      </c>
      <c r="H87" s="5">
        <v>8954.81</v>
      </c>
      <c r="I87" s="5">
        <v>3351.61</v>
      </c>
      <c r="J87">
        <v>4</v>
      </c>
      <c r="K87">
        <v>2</v>
      </c>
    </row>
    <row r="88" spans="1:11" ht="12" customHeight="1" x14ac:dyDescent="0.25">
      <c r="A88">
        <v>87</v>
      </c>
      <c r="B88" t="s">
        <v>25</v>
      </c>
      <c r="C88">
        <f t="shared" si="4"/>
        <v>0</v>
      </c>
      <c r="D88">
        <v>80</v>
      </c>
      <c r="E88">
        <v>5</v>
      </c>
      <c r="F88" t="str">
        <f t="shared" si="5"/>
        <v>Medium</v>
      </c>
      <c r="G88">
        <v>236</v>
      </c>
      <c r="H88" s="5">
        <v>4177.8999999999996</v>
      </c>
      <c r="I88" s="5">
        <v>2314.5700000000002</v>
      </c>
      <c r="J88">
        <v>6</v>
      </c>
      <c r="K88">
        <v>0</v>
      </c>
    </row>
    <row r="89" spans="1:11" ht="12" customHeight="1" x14ac:dyDescent="0.25">
      <c r="A89">
        <v>88</v>
      </c>
      <c r="B89" t="s">
        <v>24</v>
      </c>
      <c r="C89">
        <f t="shared" si="4"/>
        <v>1</v>
      </c>
      <c r="D89">
        <v>78</v>
      </c>
      <c r="E89">
        <v>2</v>
      </c>
      <c r="F89" t="str">
        <f t="shared" si="5"/>
        <v>Short</v>
      </c>
      <c r="G89">
        <v>122</v>
      </c>
      <c r="H89" s="5">
        <v>5756.89</v>
      </c>
      <c r="I89" s="5">
        <v>2156.63</v>
      </c>
      <c r="J89">
        <v>3</v>
      </c>
      <c r="K89">
        <v>4</v>
      </c>
    </row>
    <row r="90" spans="1:11" ht="12" customHeight="1" x14ac:dyDescent="0.25">
      <c r="A90">
        <v>89</v>
      </c>
      <c r="B90" t="s">
        <v>24</v>
      </c>
      <c r="C90">
        <f t="shared" si="4"/>
        <v>1</v>
      </c>
      <c r="D90">
        <v>71</v>
      </c>
      <c r="E90">
        <v>10</v>
      </c>
      <c r="F90" t="str">
        <f t="shared" si="5"/>
        <v>Long</v>
      </c>
      <c r="G90">
        <v>90</v>
      </c>
      <c r="H90" s="5">
        <v>12919.48</v>
      </c>
      <c r="I90" s="5">
        <v>2711.94</v>
      </c>
      <c r="J90">
        <v>3</v>
      </c>
      <c r="K90">
        <v>0</v>
      </c>
    </row>
    <row r="91" spans="1:11" ht="12" customHeight="1" x14ac:dyDescent="0.25">
      <c r="A91">
        <v>90</v>
      </c>
      <c r="B91" t="s">
        <v>25</v>
      </c>
      <c r="C91">
        <f t="shared" si="4"/>
        <v>0</v>
      </c>
      <c r="D91">
        <v>90</v>
      </c>
      <c r="E91">
        <v>9</v>
      </c>
      <c r="F91" t="str">
        <f t="shared" si="5"/>
        <v>Medium</v>
      </c>
      <c r="G91">
        <v>89</v>
      </c>
      <c r="H91" s="5">
        <v>7022.47</v>
      </c>
      <c r="I91" s="5">
        <v>2589.84</v>
      </c>
      <c r="J91">
        <v>2</v>
      </c>
      <c r="K91">
        <v>0</v>
      </c>
    </row>
    <row r="92" spans="1:11" ht="12" customHeight="1" x14ac:dyDescent="0.25">
      <c r="A92">
        <v>91</v>
      </c>
      <c r="B92" t="s">
        <v>24</v>
      </c>
      <c r="C92">
        <f t="shared" si="4"/>
        <v>1</v>
      </c>
      <c r="D92">
        <v>91</v>
      </c>
      <c r="E92">
        <v>7</v>
      </c>
      <c r="F92" t="str">
        <f t="shared" si="5"/>
        <v>Medium</v>
      </c>
      <c r="G92">
        <v>296</v>
      </c>
      <c r="H92" s="5">
        <v>6823.6</v>
      </c>
      <c r="I92" s="5">
        <v>3516.57</v>
      </c>
      <c r="J92">
        <v>6</v>
      </c>
      <c r="K92">
        <v>4</v>
      </c>
    </row>
    <row r="93" spans="1:11" ht="12" customHeight="1" x14ac:dyDescent="0.25">
      <c r="A93">
        <v>92</v>
      </c>
      <c r="B93" t="s">
        <v>24</v>
      </c>
      <c r="C93">
        <f t="shared" si="4"/>
        <v>1</v>
      </c>
      <c r="D93">
        <v>69</v>
      </c>
      <c r="E93">
        <v>4</v>
      </c>
      <c r="F93" t="str">
        <f t="shared" si="5"/>
        <v>Medium</v>
      </c>
      <c r="G93">
        <v>248</v>
      </c>
      <c r="H93" s="5">
        <v>2384.4699999999998</v>
      </c>
      <c r="I93" s="5">
        <v>2084.09</v>
      </c>
      <c r="J93">
        <v>5</v>
      </c>
      <c r="K93">
        <v>0</v>
      </c>
    </row>
    <row r="94" spans="1:11" ht="12" customHeight="1" x14ac:dyDescent="0.25">
      <c r="A94">
        <v>93</v>
      </c>
      <c r="B94" t="s">
        <v>25</v>
      </c>
      <c r="C94">
        <f t="shared" si="4"/>
        <v>0</v>
      </c>
      <c r="D94">
        <v>88</v>
      </c>
      <c r="E94">
        <v>5</v>
      </c>
      <c r="F94" t="str">
        <f t="shared" si="5"/>
        <v>Medium</v>
      </c>
      <c r="G94">
        <v>278</v>
      </c>
      <c r="H94" s="5">
        <v>3169.19</v>
      </c>
      <c r="I94" s="5">
        <v>2131.8200000000002</v>
      </c>
      <c r="J94">
        <v>4</v>
      </c>
      <c r="K94">
        <v>0</v>
      </c>
    </row>
    <row r="95" spans="1:11" ht="12" customHeight="1" x14ac:dyDescent="0.25">
      <c r="A95">
        <v>94</v>
      </c>
      <c r="B95" t="s">
        <v>24</v>
      </c>
      <c r="C95">
        <f t="shared" si="4"/>
        <v>1</v>
      </c>
      <c r="D95">
        <v>76</v>
      </c>
      <c r="E95">
        <v>2</v>
      </c>
      <c r="F95" t="str">
        <f t="shared" si="5"/>
        <v>Short</v>
      </c>
      <c r="G95">
        <v>143</v>
      </c>
      <c r="H95" s="5">
        <v>2721.63</v>
      </c>
      <c r="I95" s="5">
        <v>1150.43</v>
      </c>
      <c r="J95">
        <v>6</v>
      </c>
      <c r="K95">
        <v>7</v>
      </c>
    </row>
    <row r="96" spans="1:11" ht="12" customHeight="1" x14ac:dyDescent="0.25">
      <c r="A96">
        <v>95</v>
      </c>
      <c r="B96" t="s">
        <v>24</v>
      </c>
      <c r="C96">
        <f t="shared" si="4"/>
        <v>1</v>
      </c>
      <c r="D96">
        <v>83</v>
      </c>
      <c r="E96">
        <v>5</v>
      </c>
      <c r="F96" t="str">
        <f t="shared" si="5"/>
        <v>Medium</v>
      </c>
      <c r="G96">
        <v>321</v>
      </c>
      <c r="H96" s="5">
        <v>3034.14</v>
      </c>
      <c r="I96" s="5">
        <v>1630.16</v>
      </c>
      <c r="J96">
        <v>7</v>
      </c>
      <c r="K96">
        <v>0</v>
      </c>
    </row>
    <row r="97" spans="1:11" ht="12" customHeight="1" x14ac:dyDescent="0.25">
      <c r="A97">
        <v>96</v>
      </c>
      <c r="B97" t="s">
        <v>24</v>
      </c>
      <c r="C97">
        <f t="shared" si="4"/>
        <v>1</v>
      </c>
      <c r="D97">
        <v>75</v>
      </c>
      <c r="E97">
        <v>3</v>
      </c>
      <c r="F97" t="str">
        <f t="shared" si="5"/>
        <v>Short</v>
      </c>
      <c r="G97">
        <v>127</v>
      </c>
      <c r="H97" s="5">
        <v>5041.93</v>
      </c>
      <c r="I97" s="5">
        <v>3645.46</v>
      </c>
      <c r="J97">
        <v>1</v>
      </c>
      <c r="K97">
        <v>4</v>
      </c>
    </row>
    <row r="98" spans="1:11" ht="12" customHeight="1" x14ac:dyDescent="0.25">
      <c r="A98">
        <v>97</v>
      </c>
      <c r="B98" t="s">
        <v>25</v>
      </c>
      <c r="C98">
        <f t="shared" ref="C98:C101" si="6">IF(B98="F",1,0)</f>
        <v>0</v>
      </c>
      <c r="D98">
        <v>83</v>
      </c>
      <c r="E98">
        <v>7</v>
      </c>
      <c r="F98" t="str">
        <f t="shared" ref="F98:F101" si="7">IF(E98&lt;4,"Short",IF(E98&lt;=9,"Medium","Long"))</f>
        <v>Medium</v>
      </c>
      <c r="G98">
        <v>140</v>
      </c>
      <c r="H98" s="5">
        <v>8118.92</v>
      </c>
      <c r="I98" s="5">
        <v>1730.79</v>
      </c>
      <c r="J98">
        <v>5</v>
      </c>
      <c r="K98">
        <v>0</v>
      </c>
    </row>
    <row r="99" spans="1:11" ht="12" customHeight="1" x14ac:dyDescent="0.25">
      <c r="A99">
        <v>98</v>
      </c>
      <c r="B99" t="s">
        <v>25</v>
      </c>
      <c r="C99">
        <f t="shared" si="6"/>
        <v>0</v>
      </c>
      <c r="D99">
        <v>68</v>
      </c>
      <c r="E99">
        <v>9</v>
      </c>
      <c r="F99" t="str">
        <f t="shared" si="7"/>
        <v>Medium</v>
      </c>
      <c r="G99">
        <v>79</v>
      </c>
      <c r="H99" s="5">
        <v>10955.29</v>
      </c>
      <c r="I99" s="5">
        <v>5662.61</v>
      </c>
      <c r="J99">
        <v>8</v>
      </c>
      <c r="K99">
        <v>4</v>
      </c>
    </row>
    <row r="100" spans="1:11" ht="12" customHeight="1" x14ac:dyDescent="0.25">
      <c r="A100">
        <v>99</v>
      </c>
      <c r="B100" t="s">
        <v>25</v>
      </c>
      <c r="C100">
        <f t="shared" si="6"/>
        <v>0</v>
      </c>
      <c r="D100">
        <v>75</v>
      </c>
      <c r="E100">
        <v>7</v>
      </c>
      <c r="F100" t="str">
        <f t="shared" si="7"/>
        <v>Medium</v>
      </c>
      <c r="G100">
        <v>101</v>
      </c>
      <c r="H100" s="5">
        <v>5363.25</v>
      </c>
      <c r="I100" s="5">
        <v>3409.08</v>
      </c>
      <c r="J100">
        <v>5</v>
      </c>
      <c r="K100">
        <v>5</v>
      </c>
    </row>
    <row r="101" spans="1:11" ht="12" customHeight="1" x14ac:dyDescent="0.25">
      <c r="A101">
        <v>100</v>
      </c>
      <c r="B101" t="s">
        <v>25</v>
      </c>
      <c r="C101">
        <f t="shared" si="6"/>
        <v>0</v>
      </c>
      <c r="D101">
        <v>60</v>
      </c>
      <c r="E101">
        <v>5</v>
      </c>
      <c r="F101" t="str">
        <f t="shared" si="7"/>
        <v>Medium</v>
      </c>
      <c r="G101">
        <v>14</v>
      </c>
      <c r="H101" s="5">
        <v>6572.6</v>
      </c>
      <c r="I101" s="5">
        <v>3892.79</v>
      </c>
      <c r="J101">
        <v>6</v>
      </c>
      <c r="K101">
        <v>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9"/>
  <sheetViews>
    <sheetView zoomScaleNormal="100" workbookViewId="0">
      <pane ySplit="1" topLeftCell="A2" activePane="bottomLeft" state="frozen"/>
      <selection pane="bottomLeft"/>
    </sheetView>
  </sheetViews>
  <sheetFormatPr defaultColWidth="8.6328125" defaultRowHeight="12.5" x14ac:dyDescent="0.25"/>
  <cols>
    <col min="1" max="1" width="12" customWidth="1"/>
    <col min="2" max="2" width="14" customWidth="1"/>
    <col min="3" max="3" width="12" customWidth="1"/>
    <col min="4" max="4" width="16" customWidth="1"/>
    <col min="5" max="5" width="14" customWidth="1"/>
    <col min="6" max="6" width="18" customWidth="1"/>
    <col min="7" max="7" width="22" customWidth="1"/>
  </cols>
  <sheetData>
    <row r="1" spans="1:7" ht="15.75" customHeight="1" x14ac:dyDescent="0.35">
      <c r="A1" s="2" t="s">
        <v>26</v>
      </c>
    </row>
    <row r="3" spans="1:7" ht="15" customHeight="1" x14ac:dyDescent="0.3">
      <c r="A3" s="1" t="s">
        <v>27</v>
      </c>
      <c r="B3" s="4">
        <f>MIN('Hospital charges'!$D$2:$D$101)</f>
        <v>39</v>
      </c>
    </row>
    <row r="4" spans="1:7" ht="15" customHeight="1" x14ac:dyDescent="0.3">
      <c r="A4" s="1" t="s">
        <v>28</v>
      </c>
      <c r="B4" s="4">
        <f>MAX('Hospital charges'!$D$2:$D$101)</f>
        <v>96</v>
      </c>
    </row>
    <row r="7" spans="1:7" ht="26.25" customHeight="1" x14ac:dyDescent="0.3">
      <c r="A7" s="9" t="s">
        <v>29</v>
      </c>
      <c r="B7" s="9" t="s">
        <v>30</v>
      </c>
      <c r="C7" s="9" t="s">
        <v>31</v>
      </c>
      <c r="D7" s="9" t="s">
        <v>32</v>
      </c>
      <c r="E7" s="9" t="s">
        <v>33</v>
      </c>
      <c r="F7" s="9" t="s">
        <v>34</v>
      </c>
      <c r="G7" s="9" t="s">
        <v>35</v>
      </c>
    </row>
    <row r="8" spans="1:7" ht="15" customHeight="1" x14ac:dyDescent="0.3">
      <c r="A8" s="10" t="s">
        <v>36</v>
      </c>
      <c r="B8" s="11">
        <v>39</v>
      </c>
      <c r="C8" s="10">
        <f t="array" ref="C8:C14">FREQUENCY('Hospital charges'!$D$2:$D$101,$B$8:$B$14)</f>
        <v>1</v>
      </c>
      <c r="D8" s="12">
        <f t="shared" ref="D8:D14" si="0">C8/SUM($C$8:$C$14)</f>
        <v>0.01</v>
      </c>
      <c r="E8" s="13">
        <f t="shared" ref="E8:E14" si="1">C8/SUM($C$8:$C$14)*100</f>
        <v>1</v>
      </c>
      <c r="F8" s="10">
        <f>SUM($C$8:C8)</f>
        <v>1</v>
      </c>
      <c r="G8" s="12">
        <f t="shared" ref="G8:G14" si="2">F8/SUM($C$8:$C$14)</f>
        <v>0.01</v>
      </c>
    </row>
    <row r="9" spans="1:7" ht="15" customHeight="1" x14ac:dyDescent="0.3">
      <c r="A9" s="10" t="s">
        <v>37</v>
      </c>
      <c r="B9" s="11">
        <v>49</v>
      </c>
      <c r="C9" s="10">
        <v>3</v>
      </c>
      <c r="D9" s="12">
        <f t="shared" si="0"/>
        <v>0.03</v>
      </c>
      <c r="E9" s="13">
        <f t="shared" si="1"/>
        <v>3</v>
      </c>
      <c r="F9" s="10">
        <f>SUM($C$8:C9)</f>
        <v>4</v>
      </c>
      <c r="G9" s="12">
        <f t="shared" si="2"/>
        <v>0.04</v>
      </c>
    </row>
    <row r="10" spans="1:7" ht="15" customHeight="1" x14ac:dyDescent="0.3">
      <c r="A10" s="10" t="s">
        <v>38</v>
      </c>
      <c r="B10" s="11">
        <v>59</v>
      </c>
      <c r="C10" s="10">
        <v>2</v>
      </c>
      <c r="D10" s="12">
        <f t="shared" si="0"/>
        <v>0.02</v>
      </c>
      <c r="E10" s="13">
        <f t="shared" si="1"/>
        <v>2</v>
      </c>
      <c r="F10" s="10">
        <f>SUM($C$8:C10)</f>
        <v>6</v>
      </c>
      <c r="G10" s="12">
        <f t="shared" si="2"/>
        <v>0.06</v>
      </c>
    </row>
    <row r="11" spans="1:7" ht="15" customHeight="1" x14ac:dyDescent="0.3">
      <c r="A11" s="10" t="s">
        <v>39</v>
      </c>
      <c r="B11" s="11">
        <v>69</v>
      </c>
      <c r="C11" s="10">
        <v>9</v>
      </c>
      <c r="D11" s="12">
        <f t="shared" si="0"/>
        <v>0.09</v>
      </c>
      <c r="E11" s="13">
        <f t="shared" si="1"/>
        <v>9</v>
      </c>
      <c r="F11" s="10">
        <f>SUM($C$8:C11)</f>
        <v>15</v>
      </c>
      <c r="G11" s="12">
        <f t="shared" si="2"/>
        <v>0.15</v>
      </c>
    </row>
    <row r="12" spans="1:7" ht="15" customHeight="1" x14ac:dyDescent="0.3">
      <c r="A12" s="10" t="s">
        <v>40</v>
      </c>
      <c r="B12" s="11">
        <v>79</v>
      </c>
      <c r="C12" s="10">
        <v>39</v>
      </c>
      <c r="D12" s="12">
        <f t="shared" si="0"/>
        <v>0.39</v>
      </c>
      <c r="E12" s="13">
        <f t="shared" si="1"/>
        <v>39</v>
      </c>
      <c r="F12" s="10">
        <f>SUM($C$8:C12)</f>
        <v>54</v>
      </c>
      <c r="G12" s="12">
        <f t="shared" si="2"/>
        <v>0.54</v>
      </c>
    </row>
    <row r="13" spans="1:7" ht="15" customHeight="1" x14ac:dyDescent="0.3">
      <c r="A13" s="10" t="s">
        <v>41</v>
      </c>
      <c r="B13" s="11">
        <v>89</v>
      </c>
      <c r="C13" s="10">
        <v>33</v>
      </c>
      <c r="D13" s="12">
        <f t="shared" si="0"/>
        <v>0.33</v>
      </c>
      <c r="E13" s="13">
        <f t="shared" si="1"/>
        <v>33</v>
      </c>
      <c r="F13" s="10">
        <f>SUM($C$8:C13)</f>
        <v>87</v>
      </c>
      <c r="G13" s="12">
        <f t="shared" si="2"/>
        <v>0.87</v>
      </c>
    </row>
    <row r="14" spans="1:7" ht="15" customHeight="1" x14ac:dyDescent="0.3">
      <c r="A14" s="10" t="s">
        <v>42</v>
      </c>
      <c r="B14" s="11">
        <v>99</v>
      </c>
      <c r="C14" s="10">
        <v>13</v>
      </c>
      <c r="D14" s="12">
        <f t="shared" si="0"/>
        <v>0.13</v>
      </c>
      <c r="E14" s="13">
        <f t="shared" si="1"/>
        <v>13</v>
      </c>
      <c r="F14" s="10">
        <f>SUM($C$8:C14)</f>
        <v>100</v>
      </c>
      <c r="G14" s="12">
        <f t="shared" si="2"/>
        <v>1</v>
      </c>
    </row>
    <row r="15" spans="1:7" ht="15" customHeight="1" x14ac:dyDescent="0.3">
      <c r="A15" s="14" t="s">
        <v>43</v>
      </c>
      <c r="B15" s="15"/>
      <c r="C15" s="14">
        <f>SUM(C8:C14)</f>
        <v>100</v>
      </c>
      <c r="D15" s="15"/>
      <c r="E15" s="16">
        <f>SUM(E8:E14)</f>
        <v>100</v>
      </c>
      <c r="F15" s="15"/>
      <c r="G15" s="15"/>
    </row>
    <row r="17" spans="1:7" ht="15" customHeight="1" x14ac:dyDescent="0.3">
      <c r="A17" s="21" t="s">
        <v>44</v>
      </c>
      <c r="B17" s="21"/>
      <c r="C17" s="21"/>
      <c r="D17" s="21"/>
      <c r="E17" s="21"/>
      <c r="F17" s="21"/>
      <c r="G17" s="21"/>
    </row>
    <row r="39" spans="1:3" ht="15" customHeight="1" x14ac:dyDescent="0.3">
      <c r="A39" s="22" t="s">
        <v>45</v>
      </c>
      <c r="B39" s="22"/>
      <c r="C39" s="22"/>
    </row>
    <row r="40" spans="1:3" ht="15" customHeight="1" x14ac:dyDescent="0.3">
      <c r="A40" s="17" t="s">
        <v>46</v>
      </c>
      <c r="B40" s="17" t="s">
        <v>47</v>
      </c>
      <c r="C40" s="17" t="s">
        <v>31</v>
      </c>
    </row>
    <row r="41" spans="1:3" ht="15" customHeight="1" x14ac:dyDescent="0.3">
      <c r="A41" s="10">
        <v>25</v>
      </c>
      <c r="B41" s="10" t="s">
        <v>48</v>
      </c>
      <c r="C41" s="10">
        <v>0</v>
      </c>
    </row>
    <row r="42" spans="1:3" ht="15" customHeight="1" x14ac:dyDescent="0.3">
      <c r="A42" s="10">
        <v>35</v>
      </c>
      <c r="B42" s="10" t="s">
        <v>36</v>
      </c>
      <c r="C42" s="10">
        <f t="shared" ref="C42:C48" si="3">C8</f>
        <v>1</v>
      </c>
    </row>
    <row r="43" spans="1:3" ht="15" customHeight="1" x14ac:dyDescent="0.3">
      <c r="A43" s="10">
        <v>45</v>
      </c>
      <c r="B43" s="10" t="s">
        <v>37</v>
      </c>
      <c r="C43" s="10">
        <f t="shared" si="3"/>
        <v>3</v>
      </c>
    </row>
    <row r="44" spans="1:3" ht="15" customHeight="1" x14ac:dyDescent="0.3">
      <c r="A44" s="10">
        <v>55</v>
      </c>
      <c r="B44" s="10" t="s">
        <v>38</v>
      </c>
      <c r="C44" s="10">
        <f t="shared" si="3"/>
        <v>2</v>
      </c>
    </row>
    <row r="45" spans="1:3" ht="15" customHeight="1" x14ac:dyDescent="0.3">
      <c r="A45" s="10">
        <v>65</v>
      </c>
      <c r="B45" s="10" t="s">
        <v>39</v>
      </c>
      <c r="C45" s="10">
        <f t="shared" si="3"/>
        <v>9</v>
      </c>
    </row>
    <row r="46" spans="1:3" ht="15" customHeight="1" x14ac:dyDescent="0.3">
      <c r="A46" s="10">
        <v>75</v>
      </c>
      <c r="B46" s="10" t="s">
        <v>40</v>
      </c>
      <c r="C46" s="10">
        <f t="shared" si="3"/>
        <v>39</v>
      </c>
    </row>
    <row r="47" spans="1:3" ht="15" customHeight="1" x14ac:dyDescent="0.3">
      <c r="A47" s="10">
        <v>85</v>
      </c>
      <c r="B47" s="10" t="s">
        <v>41</v>
      </c>
      <c r="C47" s="10">
        <f t="shared" si="3"/>
        <v>33</v>
      </c>
    </row>
    <row r="48" spans="1:3" ht="15" customHeight="1" x14ac:dyDescent="0.3">
      <c r="A48" s="10">
        <v>95</v>
      </c>
      <c r="B48" s="10" t="s">
        <v>42</v>
      </c>
      <c r="C48" s="10">
        <f t="shared" si="3"/>
        <v>13</v>
      </c>
    </row>
    <row r="49" spans="1:3" ht="15" customHeight="1" x14ac:dyDescent="0.3">
      <c r="A49" s="10">
        <v>105</v>
      </c>
      <c r="B49" s="10" t="s">
        <v>49</v>
      </c>
      <c r="C49" s="10">
        <v>0</v>
      </c>
    </row>
  </sheetData>
  <mergeCells count="2">
    <mergeCell ref="A17:G17"/>
    <mergeCell ref="A39:C39"/>
  </mergeCells>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04"/>
  <sheetViews>
    <sheetView zoomScaleNormal="100" workbookViewId="0">
      <pane ySplit="4" topLeftCell="A5" activePane="bottomLeft" state="frozen"/>
      <selection pane="bottomLeft"/>
    </sheetView>
  </sheetViews>
  <sheetFormatPr defaultColWidth="8.6328125" defaultRowHeight="12.5" x14ac:dyDescent="0.25"/>
  <cols>
    <col min="1" max="2" width="10" customWidth="1"/>
  </cols>
  <sheetData>
    <row r="1" spans="1:2" ht="15.75" customHeight="1" x14ac:dyDescent="0.35">
      <c r="A1" s="2" t="s">
        <v>50</v>
      </c>
    </row>
    <row r="2" spans="1:2" ht="15" customHeight="1" x14ac:dyDescent="0.3">
      <c r="A2" s="3" t="s">
        <v>51</v>
      </c>
    </row>
    <row r="4" spans="1:2" ht="15" customHeight="1" x14ac:dyDescent="0.3">
      <c r="A4" s="17" t="s">
        <v>16</v>
      </c>
      <c r="B4" s="17" t="s">
        <v>17</v>
      </c>
    </row>
    <row r="5" spans="1:2" ht="15" customHeight="1" x14ac:dyDescent="0.3">
      <c r="A5" s="10">
        <f>'Hospital charges'!D2</f>
        <v>46</v>
      </c>
      <c r="B5" s="10">
        <f>'Hospital charges'!E2</f>
        <v>4</v>
      </c>
    </row>
    <row r="6" spans="1:2" ht="15" customHeight="1" x14ac:dyDescent="0.3">
      <c r="A6" s="10">
        <f>'Hospital charges'!D3</f>
        <v>87</v>
      </c>
      <c r="B6" s="10">
        <f>'Hospital charges'!E3</f>
        <v>8</v>
      </c>
    </row>
    <row r="7" spans="1:2" ht="15" customHeight="1" x14ac:dyDescent="0.3">
      <c r="A7" s="10">
        <f>'Hospital charges'!D4</f>
        <v>70</v>
      </c>
      <c r="B7" s="10">
        <f>'Hospital charges'!E4</f>
        <v>10</v>
      </c>
    </row>
    <row r="8" spans="1:2" ht="15" customHeight="1" x14ac:dyDescent="0.3">
      <c r="A8" s="10">
        <f>'Hospital charges'!D5</f>
        <v>72</v>
      </c>
      <c r="B8" s="10">
        <f>'Hospital charges'!E5</f>
        <v>5</v>
      </c>
    </row>
    <row r="9" spans="1:2" ht="15" customHeight="1" x14ac:dyDescent="0.3">
      <c r="A9" s="10">
        <f>'Hospital charges'!D6</f>
        <v>82</v>
      </c>
      <c r="B9" s="10">
        <f>'Hospital charges'!E6</f>
        <v>3</v>
      </c>
    </row>
    <row r="10" spans="1:2" ht="15" customHeight="1" x14ac:dyDescent="0.3">
      <c r="A10" s="10">
        <f>'Hospital charges'!D7</f>
        <v>85</v>
      </c>
      <c r="B10" s="10">
        <f>'Hospital charges'!E7</f>
        <v>2</v>
      </c>
    </row>
    <row r="11" spans="1:2" ht="15" customHeight="1" x14ac:dyDescent="0.3">
      <c r="A11" s="10">
        <f>'Hospital charges'!D8</f>
        <v>73</v>
      </c>
      <c r="B11" s="10">
        <f>'Hospital charges'!E8</f>
        <v>5</v>
      </c>
    </row>
    <row r="12" spans="1:2" ht="15" customHeight="1" x14ac:dyDescent="0.3">
      <c r="A12" s="10">
        <f>'Hospital charges'!D9</f>
        <v>65</v>
      </c>
      <c r="B12" s="10">
        <f>'Hospital charges'!E9</f>
        <v>6</v>
      </c>
    </row>
    <row r="13" spans="1:2" ht="15" customHeight="1" x14ac:dyDescent="0.3">
      <c r="A13" s="10">
        <f>'Hospital charges'!D10</f>
        <v>73</v>
      </c>
      <c r="B13" s="10">
        <f>'Hospital charges'!E10</f>
        <v>6</v>
      </c>
    </row>
    <row r="14" spans="1:2" ht="15" customHeight="1" x14ac:dyDescent="0.3">
      <c r="A14" s="10">
        <f>'Hospital charges'!D11</f>
        <v>94</v>
      </c>
      <c r="B14" s="10">
        <f>'Hospital charges'!E11</f>
        <v>14</v>
      </c>
    </row>
    <row r="15" spans="1:2" ht="15" customHeight="1" x14ac:dyDescent="0.3">
      <c r="A15" s="10">
        <f>'Hospital charges'!D12</f>
        <v>94</v>
      </c>
      <c r="B15" s="10">
        <f>'Hospital charges'!E12</f>
        <v>11</v>
      </c>
    </row>
    <row r="16" spans="1:2" ht="15" customHeight="1" x14ac:dyDescent="0.3">
      <c r="A16" s="10">
        <f>'Hospital charges'!D13</f>
        <v>79</v>
      </c>
      <c r="B16" s="10">
        <f>'Hospital charges'!E13</f>
        <v>5</v>
      </c>
    </row>
    <row r="17" spans="1:2" ht="15" customHeight="1" x14ac:dyDescent="0.3">
      <c r="A17" s="10">
        <f>'Hospital charges'!D14</f>
        <v>82</v>
      </c>
      <c r="B17" s="10">
        <f>'Hospital charges'!E14</f>
        <v>6</v>
      </c>
    </row>
    <row r="18" spans="1:2" ht="15" customHeight="1" x14ac:dyDescent="0.3">
      <c r="A18" s="10">
        <f>'Hospital charges'!D15</f>
        <v>76</v>
      </c>
      <c r="B18" s="10">
        <f>'Hospital charges'!E15</f>
        <v>3</v>
      </c>
    </row>
    <row r="19" spans="1:2" ht="15" customHeight="1" x14ac:dyDescent="0.3">
      <c r="A19" s="10">
        <f>'Hospital charges'!D16</f>
        <v>72</v>
      </c>
      <c r="B19" s="10">
        <f>'Hospital charges'!E16</f>
        <v>3</v>
      </c>
    </row>
    <row r="20" spans="1:2" ht="15" customHeight="1" x14ac:dyDescent="0.3">
      <c r="A20" s="10">
        <f>'Hospital charges'!D17</f>
        <v>91</v>
      </c>
      <c r="B20" s="10">
        <f>'Hospital charges'!E17</f>
        <v>7</v>
      </c>
    </row>
    <row r="21" spans="1:2" ht="15" customHeight="1" x14ac:dyDescent="0.3">
      <c r="A21" s="10">
        <f>'Hospital charges'!D18</f>
        <v>90</v>
      </c>
      <c r="B21" s="10">
        <f>'Hospital charges'!E18</f>
        <v>6</v>
      </c>
    </row>
    <row r="22" spans="1:2" ht="15" customHeight="1" x14ac:dyDescent="0.3">
      <c r="A22" s="10">
        <f>'Hospital charges'!D19</f>
        <v>83</v>
      </c>
      <c r="B22" s="10">
        <f>'Hospital charges'!E19</f>
        <v>3</v>
      </c>
    </row>
    <row r="23" spans="1:2" ht="15" customHeight="1" x14ac:dyDescent="0.3">
      <c r="A23" s="10">
        <f>'Hospital charges'!D20</f>
        <v>82</v>
      </c>
      <c r="B23" s="10">
        <f>'Hospital charges'!E20</f>
        <v>11</v>
      </c>
    </row>
    <row r="24" spans="1:2" ht="15" customHeight="1" x14ac:dyDescent="0.3">
      <c r="A24" s="10">
        <f>'Hospital charges'!D21</f>
        <v>49</v>
      </c>
      <c r="B24" s="10">
        <f>'Hospital charges'!E21</f>
        <v>2</v>
      </c>
    </row>
    <row r="25" spans="1:2" ht="15" customHeight="1" x14ac:dyDescent="0.3">
      <c r="A25" s="10">
        <f>'Hospital charges'!D22</f>
        <v>88</v>
      </c>
      <c r="B25" s="10">
        <f>'Hospital charges'!E22</f>
        <v>2</v>
      </c>
    </row>
    <row r="26" spans="1:2" ht="15" customHeight="1" x14ac:dyDescent="0.3">
      <c r="A26" s="10">
        <f>'Hospital charges'!D23</f>
        <v>75</v>
      </c>
      <c r="B26" s="10">
        <f>'Hospital charges'!E23</f>
        <v>2</v>
      </c>
    </row>
    <row r="27" spans="1:2" ht="15" customHeight="1" x14ac:dyDescent="0.3">
      <c r="A27" s="10">
        <f>'Hospital charges'!D24</f>
        <v>81</v>
      </c>
      <c r="B27" s="10">
        <f>'Hospital charges'!E24</f>
        <v>7</v>
      </c>
    </row>
    <row r="28" spans="1:2" ht="15" customHeight="1" x14ac:dyDescent="0.3">
      <c r="A28" s="10">
        <f>'Hospital charges'!D25</f>
        <v>76</v>
      </c>
      <c r="B28" s="10">
        <f>'Hospital charges'!E25</f>
        <v>4</v>
      </c>
    </row>
    <row r="29" spans="1:2" ht="15" customHeight="1" x14ac:dyDescent="0.3">
      <c r="A29" s="10">
        <f>'Hospital charges'!D26</f>
        <v>85</v>
      </c>
      <c r="B29" s="10">
        <f>'Hospital charges'!E26</f>
        <v>10</v>
      </c>
    </row>
    <row r="30" spans="1:2" ht="15" customHeight="1" x14ac:dyDescent="0.3">
      <c r="A30" s="10">
        <f>'Hospital charges'!D27</f>
        <v>84</v>
      </c>
      <c r="B30" s="10">
        <f>'Hospital charges'!E27</f>
        <v>6</v>
      </c>
    </row>
    <row r="31" spans="1:2" ht="15" customHeight="1" x14ac:dyDescent="0.3">
      <c r="A31" s="10">
        <f>'Hospital charges'!D28</f>
        <v>77</v>
      </c>
      <c r="B31" s="10">
        <f>'Hospital charges'!E28</f>
        <v>3</v>
      </c>
    </row>
    <row r="32" spans="1:2" ht="15" customHeight="1" x14ac:dyDescent="0.3">
      <c r="A32" s="10">
        <f>'Hospital charges'!D29</f>
        <v>94</v>
      </c>
      <c r="B32" s="10">
        <f>'Hospital charges'!E29</f>
        <v>6</v>
      </c>
    </row>
    <row r="33" spans="1:2" ht="15" customHeight="1" x14ac:dyDescent="0.3">
      <c r="A33" s="10">
        <f>'Hospital charges'!D30</f>
        <v>66</v>
      </c>
      <c r="B33" s="10">
        <f>'Hospital charges'!E30</f>
        <v>6</v>
      </c>
    </row>
    <row r="34" spans="1:2" ht="15" customHeight="1" x14ac:dyDescent="0.3">
      <c r="A34" s="10">
        <f>'Hospital charges'!D31</f>
        <v>72</v>
      </c>
      <c r="B34" s="10">
        <f>'Hospital charges'!E31</f>
        <v>1</v>
      </c>
    </row>
    <row r="35" spans="1:2" ht="15" customHeight="1" x14ac:dyDescent="0.3">
      <c r="A35" s="10">
        <f>'Hospital charges'!D32</f>
        <v>78</v>
      </c>
      <c r="B35" s="10">
        <f>'Hospital charges'!E32</f>
        <v>3</v>
      </c>
    </row>
    <row r="36" spans="1:2" ht="15" customHeight="1" x14ac:dyDescent="0.3">
      <c r="A36" s="10">
        <f>'Hospital charges'!D33</f>
        <v>86</v>
      </c>
      <c r="B36" s="10">
        <f>'Hospital charges'!E33</f>
        <v>3</v>
      </c>
    </row>
    <row r="37" spans="1:2" ht="15" customHeight="1" x14ac:dyDescent="0.3">
      <c r="A37" s="10">
        <f>'Hospital charges'!D34</f>
        <v>70</v>
      </c>
      <c r="B37" s="10">
        <f>'Hospital charges'!E34</f>
        <v>5</v>
      </c>
    </row>
    <row r="38" spans="1:2" ht="15" customHeight="1" x14ac:dyDescent="0.3">
      <c r="A38" s="10">
        <f>'Hospital charges'!D35</f>
        <v>72</v>
      </c>
      <c r="B38" s="10">
        <f>'Hospital charges'!E35</f>
        <v>5</v>
      </c>
    </row>
    <row r="39" spans="1:2" ht="15" customHeight="1" x14ac:dyDescent="0.3">
      <c r="A39" s="10">
        <f>'Hospital charges'!D36</f>
        <v>91</v>
      </c>
      <c r="B39" s="10">
        <f>'Hospital charges'!E36</f>
        <v>3</v>
      </c>
    </row>
    <row r="40" spans="1:2" ht="15" customHeight="1" x14ac:dyDescent="0.3">
      <c r="A40" s="10">
        <f>'Hospital charges'!D37</f>
        <v>75</v>
      </c>
      <c r="B40" s="10">
        <f>'Hospital charges'!E37</f>
        <v>2</v>
      </c>
    </row>
    <row r="41" spans="1:2" ht="15" customHeight="1" x14ac:dyDescent="0.3">
      <c r="A41" s="10">
        <f>'Hospital charges'!D38</f>
        <v>83</v>
      </c>
      <c r="B41" s="10">
        <f>'Hospital charges'!E38</f>
        <v>6</v>
      </c>
    </row>
    <row r="42" spans="1:2" ht="15" customHeight="1" x14ac:dyDescent="0.3">
      <c r="A42" s="10">
        <f>'Hospital charges'!D39</f>
        <v>82</v>
      </c>
      <c r="B42" s="10">
        <f>'Hospital charges'!E39</f>
        <v>1</v>
      </c>
    </row>
    <row r="43" spans="1:2" ht="15" customHeight="1" x14ac:dyDescent="0.3">
      <c r="A43" s="10">
        <f>'Hospital charges'!D40</f>
        <v>82</v>
      </c>
      <c r="B43" s="10">
        <f>'Hospital charges'!E40</f>
        <v>10</v>
      </c>
    </row>
    <row r="44" spans="1:2" ht="15" customHeight="1" x14ac:dyDescent="0.3">
      <c r="A44" s="10">
        <f>'Hospital charges'!D41</f>
        <v>92</v>
      </c>
      <c r="B44" s="10">
        <f>'Hospital charges'!E41</f>
        <v>2</v>
      </c>
    </row>
    <row r="45" spans="1:2" ht="15" customHeight="1" x14ac:dyDescent="0.3">
      <c r="A45" s="10">
        <f>'Hospital charges'!D42</f>
        <v>79</v>
      </c>
      <c r="B45" s="10">
        <f>'Hospital charges'!E42</f>
        <v>2</v>
      </c>
    </row>
    <row r="46" spans="1:2" ht="15" customHeight="1" x14ac:dyDescent="0.3">
      <c r="A46" s="10">
        <f>'Hospital charges'!D43</f>
        <v>69</v>
      </c>
      <c r="B46" s="10">
        <f>'Hospital charges'!E43</f>
        <v>2</v>
      </c>
    </row>
    <row r="47" spans="1:2" ht="15" customHeight="1" x14ac:dyDescent="0.3">
      <c r="A47" s="10">
        <f>'Hospital charges'!D44</f>
        <v>76</v>
      </c>
      <c r="B47" s="10">
        <f>'Hospital charges'!E44</f>
        <v>3</v>
      </c>
    </row>
    <row r="48" spans="1:2" ht="15" customHeight="1" x14ac:dyDescent="0.3">
      <c r="A48" s="10">
        <f>'Hospital charges'!D45</f>
        <v>73</v>
      </c>
      <c r="B48" s="10">
        <f>'Hospital charges'!E45</f>
        <v>2</v>
      </c>
    </row>
    <row r="49" spans="1:2" ht="15" customHeight="1" x14ac:dyDescent="0.3">
      <c r="A49" s="10">
        <f>'Hospital charges'!D46</f>
        <v>83</v>
      </c>
      <c r="B49" s="10">
        <f>'Hospital charges'!E46</f>
        <v>6</v>
      </c>
    </row>
    <row r="50" spans="1:2" ht="15" customHeight="1" x14ac:dyDescent="0.3">
      <c r="A50" s="10">
        <f>'Hospital charges'!D47</f>
        <v>80</v>
      </c>
      <c r="B50" s="10">
        <f>'Hospital charges'!E47</f>
        <v>4</v>
      </c>
    </row>
    <row r="51" spans="1:2" ht="15" customHeight="1" x14ac:dyDescent="0.3">
      <c r="A51" s="10">
        <f>'Hospital charges'!D48</f>
        <v>76</v>
      </c>
      <c r="B51" s="10">
        <f>'Hospital charges'!E48</f>
        <v>10</v>
      </c>
    </row>
    <row r="52" spans="1:2" ht="15" customHeight="1" x14ac:dyDescent="0.3">
      <c r="A52" s="10">
        <f>'Hospital charges'!D49</f>
        <v>77</v>
      </c>
      <c r="B52" s="10">
        <f>'Hospital charges'!E49</f>
        <v>7</v>
      </c>
    </row>
    <row r="53" spans="1:2" ht="15" customHeight="1" x14ac:dyDescent="0.3">
      <c r="A53" s="10">
        <f>'Hospital charges'!D50</f>
        <v>85</v>
      </c>
      <c r="B53" s="10">
        <f>'Hospital charges'!E50</f>
        <v>4</v>
      </c>
    </row>
    <row r="54" spans="1:2" ht="15" customHeight="1" x14ac:dyDescent="0.3">
      <c r="A54" s="10">
        <f>'Hospital charges'!D51</f>
        <v>70</v>
      </c>
      <c r="B54" s="10">
        <f>'Hospital charges'!E51</f>
        <v>1</v>
      </c>
    </row>
    <row r="55" spans="1:2" ht="15" customHeight="1" x14ac:dyDescent="0.3">
      <c r="A55" s="10">
        <f>'Hospital charges'!D52</f>
        <v>81</v>
      </c>
      <c r="B55" s="10">
        <f>'Hospital charges'!E52</f>
        <v>2</v>
      </c>
    </row>
    <row r="56" spans="1:2" ht="15" customHeight="1" x14ac:dyDescent="0.3">
      <c r="A56" s="10">
        <f>'Hospital charges'!D53</f>
        <v>83</v>
      </c>
      <c r="B56" s="10">
        <f>'Hospital charges'!E53</f>
        <v>9</v>
      </c>
    </row>
    <row r="57" spans="1:2" ht="15" customHeight="1" x14ac:dyDescent="0.3">
      <c r="A57" s="10">
        <f>'Hospital charges'!D54</f>
        <v>76</v>
      </c>
      <c r="B57" s="10">
        <f>'Hospital charges'!E54</f>
        <v>2</v>
      </c>
    </row>
    <row r="58" spans="1:2" ht="15" customHeight="1" x14ac:dyDescent="0.3">
      <c r="A58" s="10">
        <f>'Hospital charges'!D55</f>
        <v>88</v>
      </c>
      <c r="B58" s="10">
        <f>'Hospital charges'!E55</f>
        <v>3</v>
      </c>
    </row>
    <row r="59" spans="1:2" ht="15" customHeight="1" x14ac:dyDescent="0.3">
      <c r="A59" s="10">
        <f>'Hospital charges'!D56</f>
        <v>88</v>
      </c>
      <c r="B59" s="10">
        <f>'Hospital charges'!E56</f>
        <v>4</v>
      </c>
    </row>
    <row r="60" spans="1:2" ht="15" customHeight="1" x14ac:dyDescent="0.3">
      <c r="A60" s="10">
        <f>'Hospital charges'!D57</f>
        <v>89</v>
      </c>
      <c r="B60" s="10">
        <f>'Hospital charges'!E57</f>
        <v>2</v>
      </c>
    </row>
    <row r="61" spans="1:2" ht="15" customHeight="1" x14ac:dyDescent="0.3">
      <c r="A61" s="10">
        <f>'Hospital charges'!D58</f>
        <v>39</v>
      </c>
      <c r="B61" s="10">
        <f>'Hospital charges'!E58</f>
        <v>1</v>
      </c>
    </row>
    <row r="62" spans="1:2" ht="15" customHeight="1" x14ac:dyDescent="0.3">
      <c r="A62" s="10">
        <f>'Hospital charges'!D59</f>
        <v>89</v>
      </c>
      <c r="B62" s="10">
        <f>'Hospital charges'!E59</f>
        <v>5</v>
      </c>
    </row>
    <row r="63" spans="1:2" ht="15" customHeight="1" x14ac:dyDescent="0.3">
      <c r="A63" s="10">
        <f>'Hospital charges'!D60</f>
        <v>80</v>
      </c>
      <c r="B63" s="10">
        <f>'Hospital charges'!E60</f>
        <v>12</v>
      </c>
    </row>
    <row r="64" spans="1:2" ht="15" customHeight="1" x14ac:dyDescent="0.3">
      <c r="A64" s="10">
        <f>'Hospital charges'!D61</f>
        <v>71</v>
      </c>
      <c r="B64" s="10">
        <f>'Hospital charges'!E61</f>
        <v>7</v>
      </c>
    </row>
    <row r="65" spans="1:2" ht="15" customHeight="1" x14ac:dyDescent="0.3">
      <c r="A65" s="10">
        <f>'Hospital charges'!D62</f>
        <v>90</v>
      </c>
      <c r="B65" s="10">
        <f>'Hospital charges'!E62</f>
        <v>4</v>
      </c>
    </row>
    <row r="66" spans="1:2" ht="15" customHeight="1" x14ac:dyDescent="0.3">
      <c r="A66" s="10">
        <f>'Hospital charges'!D63</f>
        <v>91</v>
      </c>
      <c r="B66" s="10">
        <f>'Hospital charges'!E63</f>
        <v>4</v>
      </c>
    </row>
    <row r="67" spans="1:2" ht="15" customHeight="1" x14ac:dyDescent="0.3">
      <c r="A67" s="10">
        <f>'Hospital charges'!D64</f>
        <v>73</v>
      </c>
      <c r="B67" s="10">
        <f>'Hospital charges'!E64</f>
        <v>1</v>
      </c>
    </row>
    <row r="68" spans="1:2" ht="15" customHeight="1" x14ac:dyDescent="0.3">
      <c r="A68" s="10">
        <f>'Hospital charges'!D65</f>
        <v>77</v>
      </c>
      <c r="B68" s="10">
        <f>'Hospital charges'!E65</f>
        <v>7</v>
      </c>
    </row>
    <row r="69" spans="1:2" ht="15" customHeight="1" x14ac:dyDescent="0.3">
      <c r="A69" s="10">
        <f>'Hospital charges'!D66</f>
        <v>78</v>
      </c>
      <c r="B69" s="10">
        <f>'Hospital charges'!E66</f>
        <v>2</v>
      </c>
    </row>
    <row r="70" spans="1:2" ht="15" customHeight="1" x14ac:dyDescent="0.3">
      <c r="A70" s="10">
        <f>'Hospital charges'!D67</f>
        <v>79</v>
      </c>
      <c r="B70" s="10">
        <f>'Hospital charges'!E67</f>
        <v>4</v>
      </c>
    </row>
    <row r="71" spans="1:2" ht="15" customHeight="1" x14ac:dyDescent="0.3">
      <c r="A71" s="10">
        <f>'Hospital charges'!D68</f>
        <v>85</v>
      </c>
      <c r="B71" s="10">
        <f>'Hospital charges'!E68</f>
        <v>14</v>
      </c>
    </row>
    <row r="72" spans="1:2" ht="15" customHeight="1" x14ac:dyDescent="0.3">
      <c r="A72" s="10">
        <f>'Hospital charges'!D69</f>
        <v>74</v>
      </c>
      <c r="B72" s="10">
        <f>'Hospital charges'!E69</f>
        <v>1</v>
      </c>
    </row>
    <row r="73" spans="1:2" ht="15" customHeight="1" x14ac:dyDescent="0.3">
      <c r="A73" s="10">
        <f>'Hospital charges'!D70</f>
        <v>78</v>
      </c>
      <c r="B73" s="10">
        <f>'Hospital charges'!E70</f>
        <v>10</v>
      </c>
    </row>
    <row r="74" spans="1:2" ht="15" customHeight="1" x14ac:dyDescent="0.3">
      <c r="A74" s="10">
        <f>'Hospital charges'!D71</f>
        <v>92</v>
      </c>
      <c r="B74" s="10">
        <f>'Hospital charges'!E71</f>
        <v>2</v>
      </c>
    </row>
    <row r="75" spans="1:2" ht="15" customHeight="1" x14ac:dyDescent="0.3">
      <c r="A75" s="10">
        <f>'Hospital charges'!D72</f>
        <v>56</v>
      </c>
      <c r="B75" s="10">
        <f>'Hospital charges'!E72</f>
        <v>1</v>
      </c>
    </row>
    <row r="76" spans="1:2" ht="15" customHeight="1" x14ac:dyDescent="0.3">
      <c r="A76" s="10">
        <f>'Hospital charges'!D73</f>
        <v>76</v>
      </c>
      <c r="B76" s="10">
        <f>'Hospital charges'!E73</f>
        <v>2</v>
      </c>
    </row>
    <row r="77" spans="1:2" ht="15" customHeight="1" x14ac:dyDescent="0.3">
      <c r="A77" s="10">
        <f>'Hospital charges'!D74</f>
        <v>84</v>
      </c>
      <c r="B77" s="10">
        <f>'Hospital charges'!E74</f>
        <v>10</v>
      </c>
    </row>
    <row r="78" spans="1:2" ht="15" customHeight="1" x14ac:dyDescent="0.3">
      <c r="A78" s="10">
        <f>'Hospital charges'!D75</f>
        <v>75</v>
      </c>
      <c r="B78" s="10">
        <f>'Hospital charges'!E75</f>
        <v>3</v>
      </c>
    </row>
    <row r="79" spans="1:2" ht="15" customHeight="1" x14ac:dyDescent="0.3">
      <c r="A79" s="10">
        <f>'Hospital charges'!D76</f>
        <v>68</v>
      </c>
      <c r="B79" s="10">
        <f>'Hospital charges'!E76</f>
        <v>7</v>
      </c>
    </row>
    <row r="80" spans="1:2" ht="15" customHeight="1" x14ac:dyDescent="0.3">
      <c r="A80" s="10">
        <f>'Hospital charges'!D77</f>
        <v>50</v>
      </c>
      <c r="B80" s="10">
        <f>'Hospital charges'!E77</f>
        <v>2</v>
      </c>
    </row>
    <row r="81" spans="1:2" ht="15" customHeight="1" x14ac:dyDescent="0.3">
      <c r="A81" s="10">
        <f>'Hospital charges'!D78</f>
        <v>49</v>
      </c>
      <c r="B81" s="10">
        <f>'Hospital charges'!E78</f>
        <v>9</v>
      </c>
    </row>
    <row r="82" spans="1:2" ht="15" customHeight="1" x14ac:dyDescent="0.3">
      <c r="A82" s="10">
        <f>'Hospital charges'!D79</f>
        <v>76</v>
      </c>
      <c r="B82" s="10">
        <f>'Hospital charges'!E79</f>
        <v>3</v>
      </c>
    </row>
    <row r="83" spans="1:2" ht="15" customHeight="1" x14ac:dyDescent="0.3">
      <c r="A83" s="10">
        <f>'Hospital charges'!D80</f>
        <v>76</v>
      </c>
      <c r="B83" s="10">
        <f>'Hospital charges'!E80</f>
        <v>3</v>
      </c>
    </row>
    <row r="84" spans="1:2" ht="15" customHeight="1" x14ac:dyDescent="0.3">
      <c r="A84" s="10">
        <f>'Hospital charges'!D81</f>
        <v>67</v>
      </c>
      <c r="B84" s="10">
        <f>'Hospital charges'!E81</f>
        <v>2</v>
      </c>
    </row>
    <row r="85" spans="1:2" ht="15" customHeight="1" x14ac:dyDescent="0.3">
      <c r="A85" s="10">
        <f>'Hospital charges'!D82</f>
        <v>96</v>
      </c>
      <c r="B85" s="10">
        <f>'Hospital charges'!E82</f>
        <v>11</v>
      </c>
    </row>
    <row r="86" spans="1:2" ht="15" customHeight="1" x14ac:dyDescent="0.3">
      <c r="A86" s="10">
        <f>'Hospital charges'!D83</f>
        <v>83</v>
      </c>
      <c r="B86" s="10">
        <f>'Hospital charges'!E83</f>
        <v>16</v>
      </c>
    </row>
    <row r="87" spans="1:2" ht="15" customHeight="1" x14ac:dyDescent="0.3">
      <c r="A87" s="10">
        <f>'Hospital charges'!D84</f>
        <v>77</v>
      </c>
      <c r="B87" s="10">
        <f>'Hospital charges'!E84</f>
        <v>3</v>
      </c>
    </row>
    <row r="88" spans="1:2" ht="15" customHeight="1" x14ac:dyDescent="0.3">
      <c r="A88" s="10">
        <f>'Hospital charges'!D85</f>
        <v>86</v>
      </c>
      <c r="B88" s="10">
        <f>'Hospital charges'!E85</f>
        <v>5</v>
      </c>
    </row>
    <row r="89" spans="1:2" ht="15" customHeight="1" x14ac:dyDescent="0.3">
      <c r="A89" s="10">
        <f>'Hospital charges'!D86</f>
        <v>80</v>
      </c>
      <c r="B89" s="10">
        <f>'Hospital charges'!E86</f>
        <v>1</v>
      </c>
    </row>
    <row r="90" spans="1:2" ht="15" customHeight="1" x14ac:dyDescent="0.3">
      <c r="A90" s="10">
        <f>'Hospital charges'!D87</f>
        <v>61</v>
      </c>
      <c r="B90" s="10">
        <f>'Hospital charges'!E87</f>
        <v>8</v>
      </c>
    </row>
    <row r="91" spans="1:2" ht="15" customHeight="1" x14ac:dyDescent="0.3">
      <c r="A91" s="10">
        <f>'Hospital charges'!D88</f>
        <v>80</v>
      </c>
      <c r="B91" s="10">
        <f>'Hospital charges'!E88</f>
        <v>5</v>
      </c>
    </row>
    <row r="92" spans="1:2" ht="15" customHeight="1" x14ac:dyDescent="0.3">
      <c r="A92" s="10">
        <f>'Hospital charges'!D89</f>
        <v>78</v>
      </c>
      <c r="B92" s="10">
        <f>'Hospital charges'!E89</f>
        <v>2</v>
      </c>
    </row>
    <row r="93" spans="1:2" ht="15" customHeight="1" x14ac:dyDescent="0.3">
      <c r="A93" s="10">
        <f>'Hospital charges'!D90</f>
        <v>71</v>
      </c>
      <c r="B93" s="10">
        <f>'Hospital charges'!E90</f>
        <v>10</v>
      </c>
    </row>
    <row r="94" spans="1:2" ht="15" customHeight="1" x14ac:dyDescent="0.3">
      <c r="A94" s="10">
        <f>'Hospital charges'!D91</f>
        <v>90</v>
      </c>
      <c r="B94" s="10">
        <f>'Hospital charges'!E91</f>
        <v>9</v>
      </c>
    </row>
    <row r="95" spans="1:2" ht="15" customHeight="1" x14ac:dyDescent="0.3">
      <c r="A95" s="10">
        <f>'Hospital charges'!D92</f>
        <v>91</v>
      </c>
      <c r="B95" s="10">
        <f>'Hospital charges'!E92</f>
        <v>7</v>
      </c>
    </row>
    <row r="96" spans="1:2" ht="15" customHeight="1" x14ac:dyDescent="0.3">
      <c r="A96" s="10">
        <f>'Hospital charges'!D93</f>
        <v>69</v>
      </c>
      <c r="B96" s="10">
        <f>'Hospital charges'!E93</f>
        <v>4</v>
      </c>
    </row>
    <row r="97" spans="1:2" ht="15" customHeight="1" x14ac:dyDescent="0.3">
      <c r="A97" s="10">
        <f>'Hospital charges'!D94</f>
        <v>88</v>
      </c>
      <c r="B97" s="10">
        <f>'Hospital charges'!E94</f>
        <v>5</v>
      </c>
    </row>
    <row r="98" spans="1:2" ht="15" customHeight="1" x14ac:dyDescent="0.3">
      <c r="A98" s="10">
        <f>'Hospital charges'!D95</f>
        <v>76</v>
      </c>
      <c r="B98" s="10">
        <f>'Hospital charges'!E95</f>
        <v>2</v>
      </c>
    </row>
    <row r="99" spans="1:2" ht="15" customHeight="1" x14ac:dyDescent="0.3">
      <c r="A99" s="10">
        <f>'Hospital charges'!D96</f>
        <v>83</v>
      </c>
      <c r="B99" s="10">
        <f>'Hospital charges'!E96</f>
        <v>5</v>
      </c>
    </row>
    <row r="100" spans="1:2" ht="15" customHeight="1" x14ac:dyDescent="0.3">
      <c r="A100" s="10">
        <f>'Hospital charges'!D97</f>
        <v>75</v>
      </c>
      <c r="B100" s="10">
        <f>'Hospital charges'!E97</f>
        <v>3</v>
      </c>
    </row>
    <row r="101" spans="1:2" ht="15" customHeight="1" x14ac:dyDescent="0.3">
      <c r="A101" s="10">
        <f>'Hospital charges'!D98</f>
        <v>83</v>
      </c>
      <c r="B101" s="10">
        <f>'Hospital charges'!E98</f>
        <v>7</v>
      </c>
    </row>
    <row r="102" spans="1:2" ht="15" customHeight="1" x14ac:dyDescent="0.3">
      <c r="A102" s="10">
        <f>'Hospital charges'!D99</f>
        <v>68</v>
      </c>
      <c r="B102" s="10">
        <f>'Hospital charges'!E99</f>
        <v>9</v>
      </c>
    </row>
    <row r="103" spans="1:2" ht="15" customHeight="1" x14ac:dyDescent="0.3">
      <c r="A103" s="10">
        <f>'Hospital charges'!D100</f>
        <v>75</v>
      </c>
      <c r="B103" s="10">
        <f>'Hospital charges'!E100</f>
        <v>7</v>
      </c>
    </row>
    <row r="104" spans="1:2" ht="15" customHeight="1" x14ac:dyDescent="0.3">
      <c r="A104" s="10">
        <f>'Hospital charges'!D101</f>
        <v>60</v>
      </c>
      <c r="B104" s="10">
        <f>'Hospital charges'!E101</f>
        <v>5</v>
      </c>
    </row>
  </sheetData>
  <pageMargins left="0.75" right="0.75" top="1" bottom="1"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Pivot Tables</vt:lpstr>
      <vt:lpstr>Hospital charges</vt:lpstr>
      <vt:lpstr>Age Distribution</vt:lpstr>
      <vt:lpstr>Age vs 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Prerna Sinha</dc:creator>
  <dc:description/>
  <cp:lastModifiedBy>Prerna Sinha</cp:lastModifiedBy>
  <cp:revision>2</cp:revision>
  <cp:lastPrinted>2002-03-09T18:06:04Z</cp:lastPrinted>
  <dcterms:created xsi:type="dcterms:W3CDTF">2002-08-12T12:41:30Z</dcterms:created>
  <dcterms:modified xsi:type="dcterms:W3CDTF">2026-09-12T21:52:54Z</dcterms:modified>
  <dc:language>en-US</dc:language>
</cp:coreProperties>
</file>