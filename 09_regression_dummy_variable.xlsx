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ff9bbc394f2cca/Desktop/"/>
    </mc:Choice>
  </mc:AlternateContent>
  <xr:revisionPtr revIDLastSave="0" documentId="8_{C5791EF9-6628-486D-8E30-8CA0F420B999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Cost" sheetId="1" r:id="rId1"/>
    <sheet name="Regression Data" sheetId="2" r:id="rId2"/>
    <sheet name="Regression Analysis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6" i="2"/>
  <c r="B7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6" i="3" a="1"/>
  <c r="B6" i="3"/>
  <c r="B7" i="3"/>
  <c r="B21" i="3"/>
  <c r="C9" i="3"/>
  <c r="B22" i="3"/>
  <c r="A26" i="3"/>
  <c r="B20" i="3"/>
  <c r="B19" i="3"/>
  <c r="B18" i="3"/>
  <c r="B14" i="3"/>
  <c r="B13" i="3"/>
  <c r="B15" i="3"/>
  <c r="C10" i="3"/>
  <c r="B10" i="3"/>
  <c r="B9" i="3"/>
  <c r="C8" i="3"/>
  <c r="B8" i="3"/>
  <c r="C7" i="3"/>
  <c r="C6" i="3"/>
</calcChain>
</file>

<file path=xl/sharedStrings.xml><?xml version="1.0" encoding="utf-8"?>
<sst xmlns="http://schemas.openxmlformats.org/spreadsheetml/2006/main" count="100" uniqueCount="99">
  <si>
    <t>Cost</t>
  </si>
  <si>
    <t>Women</t>
  </si>
  <si>
    <t>Men</t>
  </si>
  <si>
    <t>Rearranged Data for Regression (long format)</t>
  </si>
  <si>
    <t>Cost = dependent variable;  Female = independent (dummy) variable, 1 = woman, 0 = man</t>
  </si>
  <si>
    <t>ID</t>
  </si>
  <si>
    <t>Source (from 'Cost' sheet)</t>
  </si>
  <si>
    <t>Female</t>
  </si>
  <si>
    <t>Woman #1 (Cost!B2)</t>
  </si>
  <si>
    <t>Woman #2 (Cost!B3)</t>
  </si>
  <si>
    <t>Woman #3 (Cost!B4)</t>
  </si>
  <si>
    <t>Woman #4 (Cost!B5)</t>
  </si>
  <si>
    <t>Woman #5 (Cost!B6)</t>
  </si>
  <si>
    <t>Woman #6 (Cost!B7)</t>
  </si>
  <si>
    <t>Woman #7 (Cost!B8)</t>
  </si>
  <si>
    <t>Woman #8 (Cost!B9)</t>
  </si>
  <si>
    <t>Woman #9 (Cost!B10)</t>
  </si>
  <si>
    <t>Woman #10 (Cost!B11)</t>
  </si>
  <si>
    <t>Woman #11 (Cost!B12)</t>
  </si>
  <si>
    <t>Woman #12 (Cost!B13)</t>
  </si>
  <si>
    <t>Woman #13 (Cost!B14)</t>
  </si>
  <si>
    <t>Woman #14 (Cost!B15)</t>
  </si>
  <si>
    <t>Woman #15 (Cost!B16)</t>
  </si>
  <si>
    <t>Woman #16 (Cost!B17)</t>
  </si>
  <si>
    <t>Woman #17 (Cost!B18)</t>
  </si>
  <si>
    <t>Woman #18 (Cost!B19)</t>
  </si>
  <si>
    <t>Woman #19 (Cost!B20)</t>
  </si>
  <si>
    <t>Woman #20 (Cost!B21)</t>
  </si>
  <si>
    <t>Woman #21 (Cost!B22)</t>
  </si>
  <si>
    <t>Woman #22 (Cost!B23)</t>
  </si>
  <si>
    <t>Woman #23 (Cost!B24)</t>
  </si>
  <si>
    <t>Woman #24 (Cost!B25)</t>
  </si>
  <si>
    <t>Woman #25 (Cost!B26)</t>
  </si>
  <si>
    <t>Woman #26 (Cost!B27)</t>
  </si>
  <si>
    <t>Woman #27 (Cost!B28)</t>
  </si>
  <si>
    <t>Woman #28 (Cost!B29)</t>
  </si>
  <si>
    <t>Woman #29 (Cost!B30)</t>
  </si>
  <si>
    <t>Woman #30 (Cost!B31)</t>
  </si>
  <si>
    <t>Woman #31 (Cost!B32)</t>
  </si>
  <si>
    <t>Woman #32 (Cost!B33)</t>
  </si>
  <si>
    <t>Woman #33 (Cost!B34)</t>
  </si>
  <si>
    <t>Woman #34 (Cost!B35)</t>
  </si>
  <si>
    <t>Man #1 (Cost!C2)</t>
  </si>
  <si>
    <t>Man #2 (Cost!C3)</t>
  </si>
  <si>
    <t>Man #3 (Cost!C4)</t>
  </si>
  <si>
    <t>Man #4 (Cost!C5)</t>
  </si>
  <si>
    <t>Man #5 (Cost!C6)</t>
  </si>
  <si>
    <t>Man #6 (Cost!C7)</t>
  </si>
  <si>
    <t>Man #7 (Cost!C8)</t>
  </si>
  <si>
    <t>Man #8 (Cost!C9)</t>
  </si>
  <si>
    <t>Man #9 (Cost!C10)</t>
  </si>
  <si>
    <t>Man #10 (Cost!C11)</t>
  </si>
  <si>
    <t>Man #11 (Cost!C12)</t>
  </si>
  <si>
    <t>Man #12 (Cost!C13)</t>
  </si>
  <si>
    <t>Man #13 (Cost!C14)</t>
  </si>
  <si>
    <t>Man #14 (Cost!C15)</t>
  </si>
  <si>
    <t>Man #15 (Cost!C16)</t>
  </si>
  <si>
    <t>Man #16 (Cost!C17)</t>
  </si>
  <si>
    <t>Man #17 (Cost!C18)</t>
  </si>
  <si>
    <t>Man #18 (Cost!C19)</t>
  </si>
  <si>
    <t>Man #19 (Cost!C20)</t>
  </si>
  <si>
    <t>Man #20 (Cost!C21)</t>
  </si>
  <si>
    <t>Man #21 (Cost!C22)</t>
  </si>
  <si>
    <t>Man #22 (Cost!C23)</t>
  </si>
  <si>
    <t>Man #23 (Cost!C24)</t>
  </si>
  <si>
    <t>Man #24 (Cost!C25)</t>
  </si>
  <si>
    <t>Man #25 (Cost!C26)</t>
  </si>
  <si>
    <t>Man #26 (Cost!C27)</t>
  </si>
  <si>
    <t>Man #27 (Cost!C28)</t>
  </si>
  <si>
    <t>Man #28 (Cost!C29)</t>
  </si>
  <si>
    <t>Man #29 (Cost!C30)</t>
  </si>
  <si>
    <t>Man #30 (Cost!C31)</t>
  </si>
  <si>
    <t>Man #31 (Cost!C32)</t>
  </si>
  <si>
    <t>Man #32 (Cost!C33)</t>
  </si>
  <si>
    <t>Man #33 (Cost!C34)</t>
  </si>
  <si>
    <t>Man #34 (Cost!C35)</t>
  </si>
  <si>
    <t>Regression: Is Mean Cost the Same for Women and Men?</t>
  </si>
  <si>
    <t>Model:  Cost = b0 + b1 × Female + e     (uses data on the 'Regression Data' sheet)</t>
  </si>
  <si>
    <t>Step 1: LINEST Regression Output</t>
  </si>
  <si>
    <t>b1 (Female slope)</t>
  </si>
  <si>
    <t>b0 (Intercept)</t>
  </si>
  <si>
    <t>Coefficient</t>
  </si>
  <si>
    <t>Standard Error</t>
  </si>
  <si>
    <t>R²  /  Std Error of y</t>
  </si>
  <si>
    <t>F-stat  /  df (resid)</t>
  </si>
  <si>
    <t>SS Regression / SS Resid</t>
  </si>
  <si>
    <t>Step 2: Group Means (sanity check against b0, b1)</t>
  </si>
  <si>
    <t>Mean cost — Men (Female = 0)</t>
  </si>
  <si>
    <t>Mean cost — Women (Female = 1)</t>
  </si>
  <si>
    <t>Difference (Women − Men) = b1</t>
  </si>
  <si>
    <t>Step 3: Hypothesis Test on b1  (H0: cost(women) = cost(men)  vs.  H1: not equal)</t>
  </si>
  <si>
    <t>b1 (estimated difference)</t>
  </si>
  <si>
    <t>Standard error of b1</t>
  </si>
  <si>
    <t>df (residual) = n − 2</t>
  </si>
  <si>
    <t>t stat = b1 / SE(b1)</t>
  </si>
  <si>
    <t>p-value = TDIST(ABS(t), df, 2-tail)</t>
  </si>
  <si>
    <t>α (significance level)</t>
  </si>
  <si>
    <t>Step 4: Conclusion</t>
  </si>
  <si>
    <t>Note: because Female is a 0/1 dummy variable, this simple regression of Cost on Female is algebraically identical to a two-sample (pooled-variance) t-test comparing the two group means: b0 = mean cost for men, b1 = (mean cost for women) − (mean cost for men), and the t-stat/p-value on b1 above equal the t-test's t-stat and p-value.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</si>
</sst>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164" formatCode="#,##0.0000"/>
    <numFmt numFmtId="165" formatCode="0.0000"/>
  </numFmts>
  <fonts count="8" x14ac:knownFonts="1">
    <font>
      <sz val="10"/>
      <name val="Arial"/>
    </font>
    <font>
      <b/>
      <sz val="10"/>
      <name val="Arial"/>
      <family val="2"/>
    </font>
    <font>
      <b/>
      <sz val="14"/>
      <name val="Arial"/>
    </font>
    <font>
      <i/>
      <sz val="9"/>
      <color rgb="FF808080"/>
      <name val="Arial"/>
    </font>
    <font>
      <b/>
      <sz val="10"/>
      <name val="Arial"/>
    </font>
    <font>
      <b/>
      <sz val="11"/>
      <color rgb="FFFFFFFF"/>
      <name val="Arial"/>
    </font>
    <font>
      <i/>
      <sz val="10"/>
      <name val="Arial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7" fontId="0" fillId="0" borderId="0" xfId="0" applyNumberFormat="1"/>
    <xf numFmtId="0" fontId="2" fillId="0" borderId="0" xfId="0" applyFont="1"/>
    <xf numFmtId="0" fontId="0" fillId="0" borderId="0" xfId="0"/>
    <xf numFmtId="0" fontId="7" fillId="5" borderId="0" xfId="0" applyFont="1" applyFill="1" applyAlignment="1">
      <alignment vertical="top" wrapText="1"/>
    </xf>
    <xf numFmtId="0" fontId="5" fillId="3" borderId="0" xfId="0" applyFont="1" applyFill="1"/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4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4" fillId="0" borderId="4" xfId="0" applyNumberFormat="1" applyFont="1" applyBorder="1" applyAlignment="1">
      <alignment horizontal="center"/>
    </xf>
    <xf numFmtId="165" fontId="4" fillId="4" borderId="4" xfId="0" applyNumberFormat="1" applyFont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3" fillId="0" borderId="6" xfId="0" applyFont="1" applyBorder="1" applyAlignment="1">
      <alignment vertical="top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topLeftCell="A10" workbookViewId="0">
      <selection activeCell="E14" sqref="E14"/>
    </sheetView>
  </sheetViews>
  <sheetFormatPr defaultRowHeight="12.5" x14ac:dyDescent="0.25"/>
  <cols>
    <col min="2" max="3" width="10.6328125" bestFit="1" customWidth="1"/>
  </cols>
  <sheetData>
    <row r="1" spans="1:3" ht="13" customHeight="1" x14ac:dyDescent="0.3">
      <c r="A1" s="1" t="s">
        <v>0</v>
      </c>
      <c r="B1" s="1" t="s">
        <v>1</v>
      </c>
      <c r="C1" s="1" t="s">
        <v>2</v>
      </c>
    </row>
    <row r="2" spans="1:3" ht="13.25" customHeight="1" x14ac:dyDescent="0.25">
      <c r="B2" s="2">
        <v>6457.31</v>
      </c>
      <c r="C2" s="2">
        <v>1752.96</v>
      </c>
    </row>
    <row r="3" spans="1:3" ht="13.25" customHeight="1" x14ac:dyDescent="0.25">
      <c r="B3" s="2">
        <v>3625.43</v>
      </c>
      <c r="C3" s="2">
        <v>29821.74</v>
      </c>
    </row>
    <row r="4" spans="1:3" ht="13.25" customHeight="1" x14ac:dyDescent="0.25">
      <c r="B4" s="2">
        <v>2510.7800000000002</v>
      </c>
      <c r="C4" s="2">
        <v>1907.73</v>
      </c>
    </row>
    <row r="5" spans="1:3" ht="13.25" customHeight="1" x14ac:dyDescent="0.25">
      <c r="B5" s="2">
        <v>8228.2199999999993</v>
      </c>
      <c r="C5" s="2">
        <v>5097.72</v>
      </c>
    </row>
    <row r="6" spans="1:3" ht="13.25" customHeight="1" x14ac:dyDescent="0.25">
      <c r="B6" s="2">
        <v>3331.56</v>
      </c>
      <c r="C6" s="2">
        <v>7574.53</v>
      </c>
    </row>
    <row r="7" spans="1:3" ht="13.25" customHeight="1" x14ac:dyDescent="0.25">
      <c r="B7" s="2">
        <v>7254.36</v>
      </c>
      <c r="C7" s="2">
        <v>1295.3</v>
      </c>
    </row>
    <row r="8" spans="1:3" ht="13.25" customHeight="1" x14ac:dyDescent="0.25">
      <c r="B8" s="2">
        <v>29766.29</v>
      </c>
      <c r="C8" s="2">
        <v>15259.68</v>
      </c>
    </row>
    <row r="9" spans="1:3" ht="13.25" customHeight="1" x14ac:dyDescent="0.25">
      <c r="B9" s="2">
        <v>5881.9</v>
      </c>
      <c r="C9" s="2">
        <v>4169.0600000000004</v>
      </c>
    </row>
    <row r="10" spans="1:3" ht="13.25" customHeight="1" x14ac:dyDescent="0.25">
      <c r="B10" s="2">
        <v>4901.3900000000003</v>
      </c>
      <c r="C10" s="2">
        <v>11045.79</v>
      </c>
    </row>
    <row r="11" spans="1:3" ht="13.25" customHeight="1" x14ac:dyDescent="0.25">
      <c r="B11" s="2">
        <v>1853.67</v>
      </c>
      <c r="C11" s="2">
        <v>4745.26</v>
      </c>
    </row>
    <row r="12" spans="1:3" ht="13.25" customHeight="1" x14ac:dyDescent="0.25">
      <c r="B12" s="2">
        <v>2015.86</v>
      </c>
      <c r="C12" s="2">
        <v>4283.55</v>
      </c>
    </row>
    <row r="13" spans="1:3" ht="13.25" customHeight="1" x14ac:dyDescent="0.25">
      <c r="B13" s="2">
        <v>7900.35</v>
      </c>
      <c r="C13" s="2">
        <v>1797.81</v>
      </c>
    </row>
    <row r="14" spans="1:3" ht="13.25" customHeight="1" x14ac:dyDescent="0.25">
      <c r="B14" s="2">
        <v>2272.61</v>
      </c>
      <c r="C14" s="2">
        <v>6774.32</v>
      </c>
    </row>
    <row r="15" spans="1:3" ht="13.25" customHeight="1" x14ac:dyDescent="0.25">
      <c r="B15" s="2">
        <v>12262.95</v>
      </c>
      <c r="C15" s="2">
        <v>24985.78</v>
      </c>
    </row>
    <row r="16" spans="1:3" ht="13.25" customHeight="1" x14ac:dyDescent="0.25">
      <c r="B16" s="2">
        <v>6778.67</v>
      </c>
      <c r="C16" s="2">
        <v>4286.8999999999996</v>
      </c>
    </row>
    <row r="17" spans="2:3" ht="13.25" customHeight="1" x14ac:dyDescent="0.25">
      <c r="B17" s="2">
        <v>33081.06</v>
      </c>
      <c r="C17" s="2">
        <v>5458.13</v>
      </c>
    </row>
    <row r="18" spans="2:3" ht="13.25" customHeight="1" x14ac:dyDescent="0.25">
      <c r="B18" s="2">
        <v>8650.08</v>
      </c>
      <c r="C18" s="2">
        <v>9792.65</v>
      </c>
    </row>
    <row r="19" spans="2:3" ht="13.25" customHeight="1" x14ac:dyDescent="0.25">
      <c r="B19" s="2">
        <v>1548.56</v>
      </c>
      <c r="C19" s="2">
        <v>3782.6</v>
      </c>
    </row>
    <row r="20" spans="2:3" ht="13.25" customHeight="1" x14ac:dyDescent="0.25">
      <c r="B20" s="2">
        <v>8215.43</v>
      </c>
      <c r="C20" s="2">
        <v>5249.46</v>
      </c>
    </row>
    <row r="21" spans="2:3" ht="13.25" customHeight="1" x14ac:dyDescent="0.25">
      <c r="B21" s="2">
        <v>15021.25</v>
      </c>
      <c r="C21" s="2">
        <v>3020.36</v>
      </c>
    </row>
    <row r="22" spans="2:3" ht="13.25" customHeight="1" x14ac:dyDescent="0.25">
      <c r="B22" s="2">
        <v>5029.43</v>
      </c>
      <c r="C22" s="2">
        <v>2524.0100000000002</v>
      </c>
    </row>
    <row r="23" spans="2:3" ht="13.25" customHeight="1" x14ac:dyDescent="0.25">
      <c r="B23" s="2">
        <v>2223.0500000000002</v>
      </c>
      <c r="C23" s="2">
        <v>17605.59</v>
      </c>
    </row>
    <row r="24" spans="2:3" ht="13.25" customHeight="1" x14ac:dyDescent="0.25">
      <c r="B24" s="2">
        <v>1723</v>
      </c>
      <c r="C24" s="2">
        <v>5810.96</v>
      </c>
    </row>
    <row r="25" spans="2:3" ht="13.25" customHeight="1" x14ac:dyDescent="0.25">
      <c r="B25" s="2">
        <v>6892.79</v>
      </c>
      <c r="C25" s="2">
        <v>3054.19</v>
      </c>
    </row>
    <row r="26" spans="2:3" ht="13.25" customHeight="1" x14ac:dyDescent="0.25">
      <c r="B26" s="2">
        <v>6646.63</v>
      </c>
      <c r="C26" s="2">
        <v>5672.18</v>
      </c>
    </row>
    <row r="27" spans="2:3" ht="13.25" customHeight="1" x14ac:dyDescent="0.25">
      <c r="B27" s="2">
        <v>3769.42</v>
      </c>
      <c r="C27" s="2">
        <v>5051.76</v>
      </c>
    </row>
    <row r="28" spans="2:3" ht="13.25" customHeight="1" x14ac:dyDescent="0.25">
      <c r="B28" s="2">
        <v>4824.5</v>
      </c>
      <c r="C28" s="2">
        <v>5470.64</v>
      </c>
    </row>
    <row r="29" spans="2:3" ht="13.25" customHeight="1" x14ac:dyDescent="0.25">
      <c r="B29" s="2">
        <v>7409.93</v>
      </c>
      <c r="C29" s="2">
        <v>1438.85</v>
      </c>
    </row>
    <row r="30" spans="2:3" ht="13.25" customHeight="1" x14ac:dyDescent="0.25">
      <c r="B30" s="2">
        <v>4287.45</v>
      </c>
      <c r="C30" s="2">
        <v>7099.69</v>
      </c>
    </row>
    <row r="31" spans="2:3" ht="13.25" customHeight="1" x14ac:dyDescent="0.25">
      <c r="B31" s="2">
        <v>5411.53</v>
      </c>
      <c r="C31" s="2">
        <v>4758.8900000000003</v>
      </c>
    </row>
    <row r="32" spans="2:3" ht="13.25" customHeight="1" x14ac:dyDescent="0.25">
      <c r="B32" s="2">
        <v>2694.11</v>
      </c>
      <c r="C32" s="2">
        <v>3720.09</v>
      </c>
    </row>
    <row r="33" spans="2:3" ht="13.25" customHeight="1" x14ac:dyDescent="0.25">
      <c r="B33" s="2">
        <v>4703.7700000000004</v>
      </c>
      <c r="C33" s="2">
        <v>4278.7299999999996</v>
      </c>
    </row>
    <row r="34" spans="2:3" ht="13.25" customHeight="1" x14ac:dyDescent="0.25">
      <c r="B34" s="2">
        <v>1248.0899999999999</v>
      </c>
      <c r="C34" s="2">
        <v>4561.72</v>
      </c>
    </row>
    <row r="35" spans="2:3" ht="13.25" customHeight="1" x14ac:dyDescent="0.25">
      <c r="B35" s="2">
        <v>4596</v>
      </c>
      <c r="C35" s="2">
        <v>2088.9499999999998</v>
      </c>
    </row>
    <row r="70" spans="2:2" x14ac:dyDescent="0.25">
      <c r="B70" s="2"/>
    </row>
    <row r="71" spans="2:2" x14ac:dyDescent="0.25">
      <c r="B7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1"/>
  <sheetViews>
    <sheetView workbookViewId="0">
      <pane ySplit="3" topLeftCell="A4" activePane="bottomLeft" state="frozen"/>
      <selection pane="bottomLeft" activeCell="A2" sqref="A2:D2"/>
    </sheetView>
  </sheetViews>
  <sheetFormatPr defaultRowHeight="12.5" x14ac:dyDescent="0.25"/>
  <cols>
    <col min="1" max="1" width="8" customWidth="1"/>
    <col min="2" max="2" width="14" customWidth="1"/>
    <col min="3" max="3" width="34" customWidth="1"/>
    <col min="4" max="4" width="13.90625" customWidth="1"/>
  </cols>
  <sheetData>
    <row r="1" spans="1:4" ht="18.5" thickBot="1" x14ac:dyDescent="0.45">
      <c r="A1" s="3" t="s">
        <v>3</v>
      </c>
      <c r="B1" s="4"/>
      <c r="C1" s="4"/>
      <c r="D1" s="4"/>
    </row>
    <row r="2" spans="1:4" ht="13.5" thickBot="1" x14ac:dyDescent="0.35">
      <c r="A2" s="7" t="s">
        <v>4</v>
      </c>
      <c r="B2" s="8"/>
      <c r="C2" s="8"/>
      <c r="D2" s="9"/>
    </row>
    <row r="3" spans="1:4" ht="13" x14ac:dyDescent="0.3">
      <c r="A3" s="10" t="s">
        <v>5</v>
      </c>
      <c r="B3" s="10" t="s">
        <v>0</v>
      </c>
      <c r="C3" s="10" t="s">
        <v>6</v>
      </c>
      <c r="D3" s="10" t="s">
        <v>7</v>
      </c>
    </row>
    <row r="4" spans="1:4" ht="13" x14ac:dyDescent="0.3">
      <c r="A4" s="11">
        <v>1</v>
      </c>
      <c r="B4" s="11">
        <f>Cost!B2</f>
        <v>6457.31</v>
      </c>
      <c r="C4" s="12" t="s">
        <v>8</v>
      </c>
      <c r="D4" s="11">
        <v>1</v>
      </c>
    </row>
    <row r="5" spans="1:4" ht="13" x14ac:dyDescent="0.3">
      <c r="A5" s="11">
        <v>2</v>
      </c>
      <c r="B5" s="11">
        <f>Cost!B3</f>
        <v>3625.43</v>
      </c>
      <c r="C5" s="12" t="s">
        <v>9</v>
      </c>
      <c r="D5" s="11">
        <v>1</v>
      </c>
    </row>
    <row r="6" spans="1:4" ht="13" x14ac:dyDescent="0.3">
      <c r="A6" s="11">
        <v>3</v>
      </c>
      <c r="B6" s="11">
        <f>Cost!B4</f>
        <v>2510.7800000000002</v>
      </c>
      <c r="C6" s="12" t="s">
        <v>10</v>
      </c>
      <c r="D6" s="11">
        <v>1</v>
      </c>
    </row>
    <row r="7" spans="1:4" ht="13" x14ac:dyDescent="0.3">
      <c r="A7" s="11">
        <v>4</v>
      </c>
      <c r="B7" s="11">
        <f>Cost!B5</f>
        <v>8228.2199999999993</v>
      </c>
      <c r="C7" s="12" t="s">
        <v>11</v>
      </c>
      <c r="D7" s="11">
        <v>1</v>
      </c>
    </row>
    <row r="8" spans="1:4" ht="13" x14ac:dyDescent="0.3">
      <c r="A8" s="11">
        <v>5</v>
      </c>
      <c r="B8" s="11">
        <f>Cost!B6</f>
        <v>3331.56</v>
      </c>
      <c r="C8" s="12" t="s">
        <v>12</v>
      </c>
      <c r="D8" s="11">
        <v>1</v>
      </c>
    </row>
    <row r="9" spans="1:4" ht="13" x14ac:dyDescent="0.3">
      <c r="A9" s="11">
        <v>6</v>
      </c>
      <c r="B9" s="11">
        <f>Cost!B7</f>
        <v>7254.36</v>
      </c>
      <c r="C9" s="12" t="s">
        <v>13</v>
      </c>
      <c r="D9" s="11">
        <v>1</v>
      </c>
    </row>
    <row r="10" spans="1:4" ht="13" x14ac:dyDescent="0.3">
      <c r="A10" s="11">
        <v>7</v>
      </c>
      <c r="B10" s="11">
        <f>Cost!B8</f>
        <v>29766.29</v>
      </c>
      <c r="C10" s="12" t="s">
        <v>14</v>
      </c>
      <c r="D10" s="11">
        <v>1</v>
      </c>
    </row>
    <row r="11" spans="1:4" ht="13" x14ac:dyDescent="0.3">
      <c r="A11" s="11">
        <v>8</v>
      </c>
      <c r="B11" s="11">
        <f>Cost!B9</f>
        <v>5881.9</v>
      </c>
      <c r="C11" s="12" t="s">
        <v>15</v>
      </c>
      <c r="D11" s="11">
        <v>1</v>
      </c>
    </row>
    <row r="12" spans="1:4" ht="13" x14ac:dyDescent="0.3">
      <c r="A12" s="11">
        <v>9</v>
      </c>
      <c r="B12" s="11">
        <f>Cost!B10</f>
        <v>4901.3900000000003</v>
      </c>
      <c r="C12" s="12" t="s">
        <v>16</v>
      </c>
      <c r="D12" s="11">
        <v>1</v>
      </c>
    </row>
    <row r="13" spans="1:4" ht="13" x14ac:dyDescent="0.3">
      <c r="A13" s="11">
        <v>10</v>
      </c>
      <c r="B13" s="11">
        <f>Cost!B11</f>
        <v>1853.67</v>
      </c>
      <c r="C13" s="12" t="s">
        <v>17</v>
      </c>
      <c r="D13" s="11">
        <v>1</v>
      </c>
    </row>
    <row r="14" spans="1:4" ht="13" x14ac:dyDescent="0.3">
      <c r="A14" s="11">
        <v>11</v>
      </c>
      <c r="B14" s="11">
        <f>Cost!B12</f>
        <v>2015.86</v>
      </c>
      <c r="C14" s="12" t="s">
        <v>18</v>
      </c>
      <c r="D14" s="11">
        <v>1</v>
      </c>
    </row>
    <row r="15" spans="1:4" ht="13" x14ac:dyDescent="0.3">
      <c r="A15" s="11">
        <v>12</v>
      </c>
      <c r="B15" s="11">
        <f>Cost!B13</f>
        <v>7900.35</v>
      </c>
      <c r="C15" s="12" t="s">
        <v>19</v>
      </c>
      <c r="D15" s="11">
        <v>1</v>
      </c>
    </row>
    <row r="16" spans="1:4" ht="13" x14ac:dyDescent="0.3">
      <c r="A16" s="11">
        <v>13</v>
      </c>
      <c r="B16" s="11">
        <f>Cost!B14</f>
        <v>2272.61</v>
      </c>
      <c r="C16" s="12" t="s">
        <v>20</v>
      </c>
      <c r="D16" s="11">
        <v>1</v>
      </c>
    </row>
    <row r="17" spans="1:4" ht="13" x14ac:dyDescent="0.3">
      <c r="A17" s="11">
        <v>14</v>
      </c>
      <c r="B17" s="11">
        <f>Cost!B15</f>
        <v>12262.95</v>
      </c>
      <c r="C17" s="12" t="s">
        <v>21</v>
      </c>
      <c r="D17" s="11">
        <v>1</v>
      </c>
    </row>
    <row r="18" spans="1:4" ht="13" x14ac:dyDescent="0.3">
      <c r="A18" s="11">
        <v>15</v>
      </c>
      <c r="B18" s="11">
        <f>Cost!B16</f>
        <v>6778.67</v>
      </c>
      <c r="C18" s="12" t="s">
        <v>22</v>
      </c>
      <c r="D18" s="11">
        <v>1</v>
      </c>
    </row>
    <row r="19" spans="1:4" ht="13" x14ac:dyDescent="0.3">
      <c r="A19" s="11">
        <v>16</v>
      </c>
      <c r="B19" s="11">
        <f>Cost!B17</f>
        <v>33081.06</v>
      </c>
      <c r="C19" s="12" t="s">
        <v>23</v>
      </c>
      <c r="D19" s="11">
        <v>1</v>
      </c>
    </row>
    <row r="20" spans="1:4" ht="13" x14ac:dyDescent="0.3">
      <c r="A20" s="11">
        <v>17</v>
      </c>
      <c r="B20" s="11">
        <f>Cost!B18</f>
        <v>8650.08</v>
      </c>
      <c r="C20" s="12" t="s">
        <v>24</v>
      </c>
      <c r="D20" s="11">
        <v>1</v>
      </c>
    </row>
    <row r="21" spans="1:4" ht="13" x14ac:dyDescent="0.3">
      <c r="A21" s="11">
        <v>18</v>
      </c>
      <c r="B21" s="11">
        <f>Cost!B19</f>
        <v>1548.56</v>
      </c>
      <c r="C21" s="12" t="s">
        <v>25</v>
      </c>
      <c r="D21" s="11">
        <v>1</v>
      </c>
    </row>
    <row r="22" spans="1:4" ht="13" x14ac:dyDescent="0.3">
      <c r="A22" s="11">
        <v>19</v>
      </c>
      <c r="B22" s="11">
        <f>Cost!B20</f>
        <v>8215.43</v>
      </c>
      <c r="C22" s="12" t="s">
        <v>26</v>
      </c>
      <c r="D22" s="11">
        <v>1</v>
      </c>
    </row>
    <row r="23" spans="1:4" ht="13" x14ac:dyDescent="0.3">
      <c r="A23" s="11">
        <v>20</v>
      </c>
      <c r="B23" s="11">
        <f>Cost!B21</f>
        <v>15021.25</v>
      </c>
      <c r="C23" s="12" t="s">
        <v>27</v>
      </c>
      <c r="D23" s="11">
        <v>1</v>
      </c>
    </row>
    <row r="24" spans="1:4" ht="13" x14ac:dyDescent="0.3">
      <c r="A24" s="11">
        <v>21</v>
      </c>
      <c r="B24" s="11">
        <f>Cost!B22</f>
        <v>5029.43</v>
      </c>
      <c r="C24" s="12" t="s">
        <v>28</v>
      </c>
      <c r="D24" s="11">
        <v>1</v>
      </c>
    </row>
    <row r="25" spans="1:4" ht="13" x14ac:dyDescent="0.3">
      <c r="A25" s="11">
        <v>22</v>
      </c>
      <c r="B25" s="11">
        <f>Cost!B23</f>
        <v>2223.0500000000002</v>
      </c>
      <c r="C25" s="12" t="s">
        <v>29</v>
      </c>
      <c r="D25" s="11">
        <v>1</v>
      </c>
    </row>
    <row r="26" spans="1:4" ht="13" x14ac:dyDescent="0.3">
      <c r="A26" s="11">
        <v>23</v>
      </c>
      <c r="B26" s="11">
        <f>Cost!B24</f>
        <v>1723</v>
      </c>
      <c r="C26" s="12" t="s">
        <v>30</v>
      </c>
      <c r="D26" s="11">
        <v>1</v>
      </c>
    </row>
    <row r="27" spans="1:4" ht="13" x14ac:dyDescent="0.3">
      <c r="A27" s="11">
        <v>24</v>
      </c>
      <c r="B27" s="11">
        <f>Cost!B25</f>
        <v>6892.79</v>
      </c>
      <c r="C27" s="12" t="s">
        <v>31</v>
      </c>
      <c r="D27" s="11">
        <v>1</v>
      </c>
    </row>
    <row r="28" spans="1:4" ht="13" x14ac:dyDescent="0.3">
      <c r="A28" s="11">
        <v>25</v>
      </c>
      <c r="B28" s="11">
        <f>Cost!B26</f>
        <v>6646.63</v>
      </c>
      <c r="C28" s="12" t="s">
        <v>32</v>
      </c>
      <c r="D28" s="11">
        <v>1</v>
      </c>
    </row>
    <row r="29" spans="1:4" ht="13" x14ac:dyDescent="0.3">
      <c r="A29" s="11">
        <v>26</v>
      </c>
      <c r="B29" s="11">
        <f>Cost!B27</f>
        <v>3769.42</v>
      </c>
      <c r="C29" s="12" t="s">
        <v>33</v>
      </c>
      <c r="D29" s="11">
        <v>1</v>
      </c>
    </row>
    <row r="30" spans="1:4" ht="13" x14ac:dyDescent="0.3">
      <c r="A30" s="11">
        <v>27</v>
      </c>
      <c r="B30" s="11">
        <f>Cost!B28</f>
        <v>4824.5</v>
      </c>
      <c r="C30" s="12" t="s">
        <v>34</v>
      </c>
      <c r="D30" s="11">
        <v>1</v>
      </c>
    </row>
    <row r="31" spans="1:4" ht="13" x14ac:dyDescent="0.3">
      <c r="A31" s="11">
        <v>28</v>
      </c>
      <c r="B31" s="11">
        <f>Cost!B29</f>
        <v>7409.93</v>
      </c>
      <c r="C31" s="12" t="s">
        <v>35</v>
      </c>
      <c r="D31" s="11">
        <v>1</v>
      </c>
    </row>
    <row r="32" spans="1:4" ht="13" x14ac:dyDescent="0.3">
      <c r="A32" s="11">
        <v>29</v>
      </c>
      <c r="B32" s="11">
        <f>Cost!B30</f>
        <v>4287.45</v>
      </c>
      <c r="C32" s="12" t="s">
        <v>36</v>
      </c>
      <c r="D32" s="11">
        <v>1</v>
      </c>
    </row>
    <row r="33" spans="1:4" ht="13" x14ac:dyDescent="0.3">
      <c r="A33" s="11">
        <v>30</v>
      </c>
      <c r="B33" s="11">
        <f>Cost!B31</f>
        <v>5411.53</v>
      </c>
      <c r="C33" s="12" t="s">
        <v>37</v>
      </c>
      <c r="D33" s="11">
        <v>1</v>
      </c>
    </row>
    <row r="34" spans="1:4" ht="13" x14ac:dyDescent="0.3">
      <c r="A34" s="11">
        <v>31</v>
      </c>
      <c r="B34" s="11">
        <f>Cost!B32</f>
        <v>2694.11</v>
      </c>
      <c r="C34" s="12" t="s">
        <v>38</v>
      </c>
      <c r="D34" s="11">
        <v>1</v>
      </c>
    </row>
    <row r="35" spans="1:4" ht="13" x14ac:dyDescent="0.3">
      <c r="A35" s="11">
        <v>32</v>
      </c>
      <c r="B35" s="11">
        <f>Cost!B33</f>
        <v>4703.7700000000004</v>
      </c>
      <c r="C35" s="12" t="s">
        <v>39</v>
      </c>
      <c r="D35" s="11">
        <v>1</v>
      </c>
    </row>
    <row r="36" spans="1:4" ht="13" x14ac:dyDescent="0.3">
      <c r="A36" s="11">
        <v>33</v>
      </c>
      <c r="B36" s="11">
        <f>Cost!B34</f>
        <v>1248.0899999999999</v>
      </c>
      <c r="C36" s="12" t="s">
        <v>40</v>
      </c>
      <c r="D36" s="11">
        <v>1</v>
      </c>
    </row>
    <row r="37" spans="1:4" ht="13" x14ac:dyDescent="0.3">
      <c r="A37" s="11">
        <v>34</v>
      </c>
      <c r="B37" s="11">
        <f>Cost!B35</f>
        <v>4596</v>
      </c>
      <c r="C37" s="12" t="s">
        <v>41</v>
      </c>
      <c r="D37" s="11">
        <v>1</v>
      </c>
    </row>
    <row r="38" spans="1:4" ht="13" x14ac:dyDescent="0.3">
      <c r="A38" s="11">
        <v>35</v>
      </c>
      <c r="B38" s="11">
        <f>Cost!C2</f>
        <v>1752.96</v>
      </c>
      <c r="C38" s="12" t="s">
        <v>42</v>
      </c>
      <c r="D38" s="11">
        <v>0</v>
      </c>
    </row>
    <row r="39" spans="1:4" ht="13" x14ac:dyDescent="0.3">
      <c r="A39" s="11">
        <v>36</v>
      </c>
      <c r="B39" s="11">
        <f>Cost!C3</f>
        <v>29821.74</v>
      </c>
      <c r="C39" s="12" t="s">
        <v>43</v>
      </c>
      <c r="D39" s="11">
        <v>0</v>
      </c>
    </row>
    <row r="40" spans="1:4" ht="13" x14ac:dyDescent="0.3">
      <c r="A40" s="11">
        <v>37</v>
      </c>
      <c r="B40" s="11">
        <f>Cost!C4</f>
        <v>1907.73</v>
      </c>
      <c r="C40" s="12" t="s">
        <v>44</v>
      </c>
      <c r="D40" s="11">
        <v>0</v>
      </c>
    </row>
    <row r="41" spans="1:4" ht="13" x14ac:dyDescent="0.3">
      <c r="A41" s="11">
        <v>38</v>
      </c>
      <c r="B41" s="11">
        <f>Cost!C5</f>
        <v>5097.72</v>
      </c>
      <c r="C41" s="12" t="s">
        <v>45</v>
      </c>
      <c r="D41" s="11">
        <v>0</v>
      </c>
    </row>
    <row r="42" spans="1:4" ht="13" x14ac:dyDescent="0.3">
      <c r="A42" s="11">
        <v>39</v>
      </c>
      <c r="B42" s="11">
        <f>Cost!C6</f>
        <v>7574.53</v>
      </c>
      <c r="C42" s="12" t="s">
        <v>46</v>
      </c>
      <c r="D42" s="11">
        <v>0</v>
      </c>
    </row>
    <row r="43" spans="1:4" ht="13" x14ac:dyDescent="0.3">
      <c r="A43" s="11">
        <v>40</v>
      </c>
      <c r="B43" s="11">
        <f>Cost!C7</f>
        <v>1295.3</v>
      </c>
      <c r="C43" s="12" t="s">
        <v>47</v>
      </c>
      <c r="D43" s="11">
        <v>0</v>
      </c>
    </row>
    <row r="44" spans="1:4" ht="13" x14ac:dyDescent="0.3">
      <c r="A44" s="11">
        <v>41</v>
      </c>
      <c r="B44" s="11">
        <f>Cost!C8</f>
        <v>15259.68</v>
      </c>
      <c r="C44" s="12" t="s">
        <v>48</v>
      </c>
      <c r="D44" s="11">
        <v>0</v>
      </c>
    </row>
    <row r="45" spans="1:4" ht="13" x14ac:dyDescent="0.3">
      <c r="A45" s="11">
        <v>42</v>
      </c>
      <c r="B45" s="11">
        <f>Cost!C9</f>
        <v>4169.0600000000004</v>
      </c>
      <c r="C45" s="12" t="s">
        <v>49</v>
      </c>
      <c r="D45" s="11">
        <v>0</v>
      </c>
    </row>
    <row r="46" spans="1:4" ht="13" x14ac:dyDescent="0.3">
      <c r="A46" s="11">
        <v>43</v>
      </c>
      <c r="B46" s="11">
        <f>Cost!C10</f>
        <v>11045.79</v>
      </c>
      <c r="C46" s="12" t="s">
        <v>50</v>
      </c>
      <c r="D46" s="11">
        <v>0</v>
      </c>
    </row>
    <row r="47" spans="1:4" ht="13" x14ac:dyDescent="0.3">
      <c r="A47" s="11">
        <v>44</v>
      </c>
      <c r="B47" s="11">
        <f>Cost!C11</f>
        <v>4745.26</v>
      </c>
      <c r="C47" s="12" t="s">
        <v>51</v>
      </c>
      <c r="D47" s="11">
        <v>0</v>
      </c>
    </row>
    <row r="48" spans="1:4" ht="13" x14ac:dyDescent="0.3">
      <c r="A48" s="11">
        <v>45</v>
      </c>
      <c r="B48" s="11">
        <f>Cost!C12</f>
        <v>4283.55</v>
      </c>
      <c r="C48" s="12" t="s">
        <v>52</v>
      </c>
      <c r="D48" s="11">
        <v>0</v>
      </c>
    </row>
    <row r="49" spans="1:4" ht="13" x14ac:dyDescent="0.3">
      <c r="A49" s="11">
        <v>46</v>
      </c>
      <c r="B49" s="11">
        <f>Cost!C13</f>
        <v>1797.81</v>
      </c>
      <c r="C49" s="12" t="s">
        <v>53</v>
      </c>
      <c r="D49" s="11">
        <v>0</v>
      </c>
    </row>
    <row r="50" spans="1:4" ht="13" x14ac:dyDescent="0.3">
      <c r="A50" s="11">
        <v>47</v>
      </c>
      <c r="B50" s="11">
        <f>Cost!C14</f>
        <v>6774.32</v>
      </c>
      <c r="C50" s="12" t="s">
        <v>54</v>
      </c>
      <c r="D50" s="11">
        <v>0</v>
      </c>
    </row>
    <row r="51" spans="1:4" ht="13" x14ac:dyDescent="0.3">
      <c r="A51" s="11">
        <v>48</v>
      </c>
      <c r="B51" s="11">
        <f>Cost!C15</f>
        <v>24985.78</v>
      </c>
      <c r="C51" s="12" t="s">
        <v>55</v>
      </c>
      <c r="D51" s="11">
        <v>0</v>
      </c>
    </row>
    <row r="52" spans="1:4" ht="13" x14ac:dyDescent="0.3">
      <c r="A52" s="11">
        <v>49</v>
      </c>
      <c r="B52" s="11">
        <f>Cost!C16</f>
        <v>4286.8999999999996</v>
      </c>
      <c r="C52" s="12" t="s">
        <v>56</v>
      </c>
      <c r="D52" s="11">
        <v>0</v>
      </c>
    </row>
    <row r="53" spans="1:4" ht="13" x14ac:dyDescent="0.3">
      <c r="A53" s="11">
        <v>50</v>
      </c>
      <c r="B53" s="11">
        <f>Cost!C17</f>
        <v>5458.13</v>
      </c>
      <c r="C53" s="12" t="s">
        <v>57</v>
      </c>
      <c r="D53" s="11">
        <v>0</v>
      </c>
    </row>
    <row r="54" spans="1:4" ht="13" x14ac:dyDescent="0.3">
      <c r="A54" s="11">
        <v>51</v>
      </c>
      <c r="B54" s="11">
        <f>Cost!C18</f>
        <v>9792.65</v>
      </c>
      <c r="C54" s="12" t="s">
        <v>58</v>
      </c>
      <c r="D54" s="11">
        <v>0</v>
      </c>
    </row>
    <row r="55" spans="1:4" ht="13" x14ac:dyDescent="0.3">
      <c r="A55" s="11">
        <v>52</v>
      </c>
      <c r="B55" s="11">
        <f>Cost!C19</f>
        <v>3782.6</v>
      </c>
      <c r="C55" s="12" t="s">
        <v>59</v>
      </c>
      <c r="D55" s="11">
        <v>0</v>
      </c>
    </row>
    <row r="56" spans="1:4" ht="13" x14ac:dyDescent="0.3">
      <c r="A56" s="11">
        <v>53</v>
      </c>
      <c r="B56" s="11">
        <f>Cost!C20</f>
        <v>5249.46</v>
      </c>
      <c r="C56" s="12" t="s">
        <v>60</v>
      </c>
      <c r="D56" s="11">
        <v>0</v>
      </c>
    </row>
    <row r="57" spans="1:4" ht="13" x14ac:dyDescent="0.3">
      <c r="A57" s="11">
        <v>54</v>
      </c>
      <c r="B57" s="11">
        <f>Cost!C21</f>
        <v>3020.36</v>
      </c>
      <c r="C57" s="12" t="s">
        <v>61</v>
      </c>
      <c r="D57" s="11">
        <v>0</v>
      </c>
    </row>
    <row r="58" spans="1:4" ht="13" x14ac:dyDescent="0.3">
      <c r="A58" s="11">
        <v>55</v>
      </c>
      <c r="B58" s="11">
        <f>Cost!C22</f>
        <v>2524.0100000000002</v>
      </c>
      <c r="C58" s="12" t="s">
        <v>62</v>
      </c>
      <c r="D58" s="11">
        <v>0</v>
      </c>
    </row>
    <row r="59" spans="1:4" ht="13" x14ac:dyDescent="0.3">
      <c r="A59" s="11">
        <v>56</v>
      </c>
      <c r="B59" s="11">
        <f>Cost!C23</f>
        <v>17605.59</v>
      </c>
      <c r="C59" s="12" t="s">
        <v>63</v>
      </c>
      <c r="D59" s="11">
        <v>0</v>
      </c>
    </row>
    <row r="60" spans="1:4" ht="13" x14ac:dyDescent="0.3">
      <c r="A60" s="11">
        <v>57</v>
      </c>
      <c r="B60" s="11">
        <f>Cost!C24</f>
        <v>5810.96</v>
      </c>
      <c r="C60" s="12" t="s">
        <v>64</v>
      </c>
      <c r="D60" s="11">
        <v>0</v>
      </c>
    </row>
    <row r="61" spans="1:4" ht="13" x14ac:dyDescent="0.3">
      <c r="A61" s="11">
        <v>58</v>
      </c>
      <c r="B61" s="11">
        <f>Cost!C25</f>
        <v>3054.19</v>
      </c>
      <c r="C61" s="12" t="s">
        <v>65</v>
      </c>
      <c r="D61" s="11">
        <v>0</v>
      </c>
    </row>
    <row r="62" spans="1:4" ht="13" x14ac:dyDescent="0.3">
      <c r="A62" s="11">
        <v>59</v>
      </c>
      <c r="B62" s="11">
        <f>Cost!C26</f>
        <v>5672.18</v>
      </c>
      <c r="C62" s="12" t="s">
        <v>66</v>
      </c>
      <c r="D62" s="11">
        <v>0</v>
      </c>
    </row>
    <row r="63" spans="1:4" ht="13" x14ac:dyDescent="0.3">
      <c r="A63" s="11">
        <v>60</v>
      </c>
      <c r="B63" s="11">
        <f>Cost!C27</f>
        <v>5051.76</v>
      </c>
      <c r="C63" s="12" t="s">
        <v>67</v>
      </c>
      <c r="D63" s="11">
        <v>0</v>
      </c>
    </row>
    <row r="64" spans="1:4" ht="13" x14ac:dyDescent="0.3">
      <c r="A64" s="11">
        <v>61</v>
      </c>
      <c r="B64" s="11">
        <f>Cost!C28</f>
        <v>5470.64</v>
      </c>
      <c r="C64" s="12" t="s">
        <v>68</v>
      </c>
      <c r="D64" s="11">
        <v>0</v>
      </c>
    </row>
    <row r="65" spans="1:4" ht="13" x14ac:dyDescent="0.3">
      <c r="A65" s="11">
        <v>62</v>
      </c>
      <c r="B65" s="11">
        <f>Cost!C29</f>
        <v>1438.85</v>
      </c>
      <c r="C65" s="12" t="s">
        <v>69</v>
      </c>
      <c r="D65" s="11">
        <v>0</v>
      </c>
    </row>
    <row r="66" spans="1:4" ht="13" x14ac:dyDescent="0.3">
      <c r="A66" s="11">
        <v>63</v>
      </c>
      <c r="B66" s="11">
        <f>Cost!C30</f>
        <v>7099.69</v>
      </c>
      <c r="C66" s="12" t="s">
        <v>70</v>
      </c>
      <c r="D66" s="11">
        <v>0</v>
      </c>
    </row>
    <row r="67" spans="1:4" ht="13" x14ac:dyDescent="0.3">
      <c r="A67" s="11">
        <v>64</v>
      </c>
      <c r="B67" s="11">
        <f>Cost!C31</f>
        <v>4758.8900000000003</v>
      </c>
      <c r="C67" s="12" t="s">
        <v>71</v>
      </c>
      <c r="D67" s="11">
        <v>0</v>
      </c>
    </row>
    <row r="68" spans="1:4" ht="13" x14ac:dyDescent="0.3">
      <c r="A68" s="11">
        <v>65</v>
      </c>
      <c r="B68" s="11">
        <f>Cost!C32</f>
        <v>3720.09</v>
      </c>
      <c r="C68" s="12" t="s">
        <v>72</v>
      </c>
      <c r="D68" s="11">
        <v>0</v>
      </c>
    </row>
    <row r="69" spans="1:4" ht="13" x14ac:dyDescent="0.3">
      <c r="A69" s="11">
        <v>66</v>
      </c>
      <c r="B69" s="11">
        <f>Cost!C33</f>
        <v>4278.7299999999996</v>
      </c>
      <c r="C69" s="12" t="s">
        <v>73</v>
      </c>
      <c r="D69" s="11">
        <v>0</v>
      </c>
    </row>
    <row r="70" spans="1:4" ht="13" x14ac:dyDescent="0.3">
      <c r="A70" s="11">
        <v>67</v>
      </c>
      <c r="B70" s="11">
        <f>Cost!C34</f>
        <v>4561.72</v>
      </c>
      <c r="C70" s="12" t="s">
        <v>74</v>
      </c>
      <c r="D70" s="11">
        <v>0</v>
      </c>
    </row>
    <row r="71" spans="1:4" ht="13" x14ac:dyDescent="0.3">
      <c r="A71" s="11">
        <v>68</v>
      </c>
      <c r="B71" s="11">
        <f>Cost!C35</f>
        <v>2088.9499999999998</v>
      </c>
      <c r="C71" s="12" t="s">
        <v>75</v>
      </c>
      <c r="D71" s="11">
        <v>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tabSelected="1" workbookViewId="0">
      <selection activeCell="I11" sqref="I11"/>
    </sheetView>
  </sheetViews>
  <sheetFormatPr defaultRowHeight="12.5" x14ac:dyDescent="0.25"/>
  <cols>
    <col min="1" max="1" width="30" customWidth="1"/>
    <col min="2" max="2" width="16" customWidth="1"/>
    <col min="3" max="3" width="17.1796875" bestFit="1" customWidth="1"/>
    <col min="4" max="5" width="16" customWidth="1"/>
  </cols>
  <sheetData>
    <row r="1" spans="1:5" ht="18.5" thickBot="1" x14ac:dyDescent="0.45">
      <c r="A1" s="3" t="s">
        <v>76</v>
      </c>
      <c r="B1" s="4"/>
      <c r="C1" s="4"/>
      <c r="D1" s="4"/>
      <c r="E1" s="4"/>
    </row>
    <row r="2" spans="1:5" ht="13.5" thickBot="1" x14ac:dyDescent="0.35">
      <c r="A2" s="7" t="s">
        <v>77</v>
      </c>
      <c r="B2" s="8"/>
      <c r="C2" s="8"/>
      <c r="D2" s="8"/>
      <c r="E2" s="9"/>
    </row>
    <row r="4" spans="1:5" ht="14" x14ac:dyDescent="0.3">
      <c r="A4" s="6" t="s">
        <v>78</v>
      </c>
      <c r="B4" s="4"/>
      <c r="C4" s="4"/>
      <c r="D4" s="4"/>
      <c r="E4" s="4"/>
    </row>
    <row r="5" spans="1:5" ht="13" x14ac:dyDescent="0.3">
      <c r="A5" s="11"/>
      <c r="B5" s="13" t="s">
        <v>79</v>
      </c>
      <c r="C5" s="13" t="s">
        <v>80</v>
      </c>
    </row>
    <row r="6" spans="1:5" ht="13" x14ac:dyDescent="0.3">
      <c r="A6" s="14" t="s">
        <v>81</v>
      </c>
      <c r="B6" s="15">
        <f t="array" ref="B6:C10">LINEST('Regression Data'!$B$4:$B$71,'Regression Data'!$D$4:$D$71,TRUE,TRUE)</f>
        <v>228.81911764705868</v>
      </c>
      <c r="C6" s="15">
        <v>6624.634705882353</v>
      </c>
    </row>
    <row r="7" spans="1:5" ht="13" x14ac:dyDescent="0.3">
      <c r="A7" s="14" t="s">
        <v>82</v>
      </c>
      <c r="B7" s="15">
        <v>1619.683128727235</v>
      </c>
      <c r="C7" s="15">
        <v>1145.2889236964718</v>
      </c>
    </row>
    <row r="8" spans="1:5" ht="13" x14ac:dyDescent="0.3">
      <c r="A8" s="14" t="s">
        <v>83</v>
      </c>
      <c r="B8" s="15">
        <v>3.0230772868919544E-4</v>
      </c>
      <c r="C8" s="15">
        <v>6678.1246197732771</v>
      </c>
    </row>
    <row r="9" spans="1:5" ht="13" x14ac:dyDescent="0.3">
      <c r="A9" s="14" t="s">
        <v>84</v>
      </c>
      <c r="B9" s="15">
        <v>1.9958343655025652E-2</v>
      </c>
      <c r="C9" s="15">
        <v>66</v>
      </c>
    </row>
    <row r="10" spans="1:5" ht="13" x14ac:dyDescent="0.3">
      <c r="A10" s="14" t="s">
        <v>85</v>
      </c>
      <c r="B10" s="15">
        <v>890089.20621299744</v>
      </c>
      <c r="C10" s="15">
        <v>2943424996.8566508</v>
      </c>
    </row>
    <row r="12" spans="1:5" ht="14" x14ac:dyDescent="0.3">
      <c r="A12" s="6" t="s">
        <v>86</v>
      </c>
      <c r="B12" s="4"/>
      <c r="C12" s="4"/>
      <c r="D12" s="4"/>
      <c r="E12" s="4"/>
    </row>
    <row r="13" spans="1:5" x14ac:dyDescent="0.25">
      <c r="A13" s="11" t="s">
        <v>87</v>
      </c>
      <c r="B13" s="16">
        <f>AVERAGEIF('Regression Data'!$D$4:$D$71,0,'Regression Data'!$B$4:$B$71)</f>
        <v>6624.634705882354</v>
      </c>
    </row>
    <row r="14" spans="1:5" x14ac:dyDescent="0.25">
      <c r="A14" s="11" t="s">
        <v>88</v>
      </c>
      <c r="B14" s="16">
        <f>AVERAGEIF('Regression Data'!$D$4:$D$71,1,'Regression Data'!$B$4:$B$71)</f>
        <v>6853.4538235294094</v>
      </c>
    </row>
    <row r="15" spans="1:5" x14ac:dyDescent="0.25">
      <c r="A15" s="11" t="s">
        <v>89</v>
      </c>
      <c r="B15" s="16">
        <f>B14-B13</f>
        <v>228.81911764705546</v>
      </c>
    </row>
    <row r="17" spans="1:5" ht="14" x14ac:dyDescent="0.3">
      <c r="A17" s="6" t="s">
        <v>90</v>
      </c>
      <c r="B17" s="4"/>
      <c r="C17" s="4"/>
      <c r="D17" s="4"/>
      <c r="E17" s="4"/>
    </row>
    <row r="18" spans="1:5" ht="13" x14ac:dyDescent="0.3">
      <c r="A18" s="13" t="s">
        <v>91</v>
      </c>
      <c r="B18" s="17">
        <f>$B$6</f>
        <v>228.81911764705868</v>
      </c>
    </row>
    <row r="19" spans="1:5" x14ac:dyDescent="0.25">
      <c r="A19" s="11" t="s">
        <v>92</v>
      </c>
      <c r="B19" s="16">
        <f>$B$7</f>
        <v>1619.683128727235</v>
      </c>
    </row>
    <row r="20" spans="1:5" x14ac:dyDescent="0.25">
      <c r="A20" s="11" t="s">
        <v>93</v>
      </c>
      <c r="B20" s="11">
        <f>$C$9</f>
        <v>66</v>
      </c>
    </row>
    <row r="21" spans="1:5" ht="13" x14ac:dyDescent="0.3">
      <c r="A21" s="13" t="s">
        <v>94</v>
      </c>
      <c r="B21" s="18">
        <f>$B$6/$B$7</f>
        <v>0.14127400204931892</v>
      </c>
    </row>
    <row r="22" spans="1:5" ht="13" x14ac:dyDescent="0.3">
      <c r="A22" s="13" t="s">
        <v>95</v>
      </c>
      <c r="B22" s="18">
        <f>TDIST(ABS($B$21),$C$9,2)</f>
        <v>0.88808381220978405</v>
      </c>
    </row>
    <row r="23" spans="1:5" x14ac:dyDescent="0.25">
      <c r="A23" s="11" t="s">
        <v>96</v>
      </c>
      <c r="B23" s="19">
        <v>0.05</v>
      </c>
    </row>
    <row r="25" spans="1:5" ht="14" x14ac:dyDescent="0.3">
      <c r="A25" s="6" t="s">
        <v>97</v>
      </c>
      <c r="B25" s="4"/>
      <c r="C25" s="4"/>
      <c r="D25" s="4"/>
      <c r="E25" s="4"/>
    </row>
    <row r="26" spans="1:5" x14ac:dyDescent="0.25">
      <c r="A26" s="5" t="str">
        <f>IF($B$22&lt;$B$23,"Reject H0: p = "&amp;TEXT($B$22,"0.0000")&amp;" &lt; α = "&amp;TEXT($B$23,"0.00")&amp;". The regression coefficient on Female is statistically significant — mean hospital cost differs between women and men.","Fail to reject H0: p = "&amp;TEXT($B$22,"0.0000")&amp;" ≥ α = "&amp;TEXT($B$23,"0.00")&amp;". The coefficient on Female is not statistically significant — there is not enough evidence that mean hospital cost differs between women and men.")</f>
        <v>Fail to reject H0: p = 0.8881 ≥ α = 0.05. The coefficient on Female is not statistically significant — there is not enough evidence that mean hospital cost differs between women and men.</v>
      </c>
      <c r="B26" s="4"/>
      <c r="C26" s="4"/>
      <c r="D26" s="4"/>
      <c r="E26" s="4"/>
    </row>
    <row r="27" spans="1:5" x14ac:dyDescent="0.25">
      <c r="A27" s="4"/>
      <c r="B27" s="4"/>
      <c r="C27" s="4"/>
      <c r="D27" s="4"/>
      <c r="E27" s="4"/>
    </row>
    <row r="28" spans="1:5" x14ac:dyDescent="0.25">
      <c r="A28" s="4"/>
      <c r="B28" s="4"/>
      <c r="C28" s="4"/>
      <c r="D28" s="4"/>
      <c r="E28" s="4"/>
    </row>
    <row r="29" spans="1:5" x14ac:dyDescent="0.25">
      <c r="A29" s="4"/>
      <c r="B29" s="4"/>
      <c r="C29" s="4"/>
      <c r="D29" s="4"/>
      <c r="E29" s="4"/>
    </row>
    <row r="30" spans="1:5" ht="13" thickBot="1" x14ac:dyDescent="0.3"/>
    <row r="31" spans="1:5" x14ac:dyDescent="0.25">
      <c r="A31" s="20" t="s">
        <v>98</v>
      </c>
      <c r="B31" s="21"/>
      <c r="C31" s="21"/>
      <c r="D31" s="21"/>
      <c r="E31" s="22"/>
    </row>
    <row r="32" spans="1:5" x14ac:dyDescent="0.25">
      <c r="A32" s="23"/>
      <c r="B32" s="24"/>
      <c r="C32" s="24"/>
      <c r="D32" s="24"/>
      <c r="E32" s="25"/>
    </row>
    <row r="33" spans="1:5" ht="13" thickBot="1" x14ac:dyDescent="0.3">
      <c r="A33" s="26"/>
      <c r="B33" s="27"/>
      <c r="C33" s="27"/>
      <c r="D33" s="27"/>
      <c r="E33" s="28"/>
    </row>
  </sheetData>
  <mergeCells count="8">
    <mergeCell ref="A1:E1"/>
    <mergeCell ref="A31:E33"/>
    <mergeCell ref="A17:E17"/>
    <mergeCell ref="A26:E29"/>
    <mergeCell ref="A12:E12"/>
    <mergeCell ref="A4:E4"/>
    <mergeCell ref="A2:E2"/>
    <mergeCell ref="A25:E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</vt:lpstr>
      <vt:lpstr>Regression Data</vt:lpstr>
      <vt:lpstr>Regression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Prerna Sinha</dc:creator>
  <cp:lastModifiedBy>Prerna Sinha</cp:lastModifiedBy>
  <dcterms:created xsi:type="dcterms:W3CDTF">2002-09-17T18:10:27Z</dcterms:created>
  <dcterms:modified xsi:type="dcterms:W3CDTF">2026-09-25T19:01:17Z</dcterms:modified>
</cp:coreProperties>
</file>