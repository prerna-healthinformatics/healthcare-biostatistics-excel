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mm/dd/yyyy"/>
  </numFmts>
  <fonts count="7">
    <font>
      <name val="Calibri"/>
      <charset val="1"/>
      <family val="2"/>
      <color theme="1"/>
      <sz val="11"/>
    </font>
    <font>
      <name val="Arial"/>
      <charset val="1"/>
      <b val="1"/>
      <sz val="13"/>
    </font>
    <font>
      <name val="Arial"/>
      <charset val="1"/>
      <i val="1"/>
      <color rgb="FF7F7F7F"/>
      <sz val="10"/>
    </font>
    <font>
      <name val="Arial"/>
      <charset val="1"/>
      <b val="1"/>
      <sz val="11"/>
    </font>
    <font>
      <name val="Arial"/>
      <charset val="1"/>
      <sz val="11"/>
    </font>
    <font>
      <name val="Arial"/>
      <charset val="1"/>
      <i val="1"/>
      <color rgb="FFC00000"/>
      <sz val="10"/>
    </font>
    <font>
      <name val="Arial"/>
      <charset val="1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4" fontId="4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tabSelected="1" zoomScaleNormal="100" workbookViewId="0">
      <selection activeCell="A1" sqref="A1"/>
    </sheetView>
  </sheetViews>
  <sheetFormatPr baseColWidth="8" defaultColWidth="8.6328125" defaultRowHeight="14.5"/>
  <cols>
    <col width="110" customWidth="1" min="1" max="1"/>
  </cols>
  <sheetData>
    <row r="1" ht="15.75" customHeight="1">
      <c r="A1" s="1" t="inlineStr">
        <is>
          <t>Data Import &amp; Cleaning: Patient Records (n = 100)</t>
        </is>
      </c>
    </row>
    <row r="2" ht="15" customHeight="1">
      <c r="A2" s="2" t="n"/>
    </row>
    <row r="3" ht="15" customHeight="1">
      <c r="A3" s="2" t="inlineStr">
        <is>
          <t>Imported a comma-delimited text file of 100 patient records into Excel and prepared it for analysis.</t>
        </is>
      </c>
    </row>
    <row r="4" ht="15" customHeight="1">
      <c r="A4" s="2" t="n"/>
    </row>
    <row r="5" ht="15" customHeight="1">
      <c r="A5" s="2" t="inlineStr">
        <is>
          <t>Steps performed on the "Data" sheet:</t>
        </is>
      </c>
    </row>
    <row r="6" ht="15" customHeight="1">
      <c r="A6" s="3" t="inlineStr">
        <is>
          <t>1. Corrected two-digit birth years that Excel read as 20YY instead of 19YY, by checking each date of birth against the admission date (ages now range 38-95).</t>
        </is>
      </c>
    </row>
    <row r="7" ht="15" customHeight="1">
      <c r="A7" s="4" t="inlineStr">
        <is>
          <t>2. Added a header row with field labels.</t>
        </is>
      </c>
    </row>
    <row r="8" ht="15" customHeight="1">
      <c r="A8" s="2" t="inlineStr">
        <is>
          <t>3. Calculated length of stay: LOS = discharge date - admission date (days).</t>
        </is>
      </c>
    </row>
    <row r="9" ht="15" customHeight="1">
      <c r="A9" s="2" t="inlineStr">
        <is>
          <t>4. Calculated age at admission: =YEAR(DOA)-YEAR(DOB).</t>
        </is>
      </c>
    </row>
    <row r="10" ht="15" customHeight="1">
      <c r="A10" s="2" t="inlineStr">
        <is>
          <t>5. Recoded sex as a numeric variable (Female = 1, Male = 0) for later analysis.</t>
        </is>
      </c>
    </row>
    <row r="11" ht="15" customHeight="1">
      <c r="A11" s="2" t="n"/>
    </row>
    <row r="12" ht="15" customHeight="1">
      <c r="A12" s="2" t="n"/>
    </row>
    <row r="13" ht="15" customHeight="1">
      <c r="A13" s="4" t="n"/>
    </row>
    <row r="14" ht="15" customHeight="1">
      <c r="A14" s="4" t="n"/>
    </row>
    <row r="15" ht="15" customHeight="1">
      <c r="A15" s="4" t="n"/>
    </row>
    <row r="16" ht="15" customHeight="1">
      <c r="A16" s="2" t="n"/>
    </row>
    <row r="17" ht="15" customHeight="1">
      <c r="A17" s="4" t="n"/>
    </row>
    <row r="18" ht="15" customHeight="1">
      <c r="A18" s="2" t="n"/>
    </row>
    <row r="19" ht="15" customHeight="1">
      <c r="A19" s="3" t="n"/>
    </row>
    <row r="20" ht="15" customHeight="1">
      <c r="A20" s="4" t="n"/>
    </row>
    <row r="21" ht="15" customHeight="1">
      <c r="A21" s="2" t="n"/>
    </row>
    <row r="22" ht="15" customHeight="1">
      <c r="A22" s="2" t="n"/>
    </row>
    <row r="23" ht="15" customHeight="1">
      <c r="A23" s="2" t="n"/>
    </row>
    <row r="24" ht="15" customHeight="1">
      <c r="A24" s="4" t="n"/>
    </row>
    <row r="25" ht="15" customHeight="1">
      <c r="A25" s="2" t="n"/>
    </row>
    <row r="26" ht="15" customHeight="1">
      <c r="A26" s="5" t="n"/>
    </row>
    <row r="27" ht="15" customHeight="1">
      <c r="A27" s="5" t="n"/>
    </row>
    <row r="28" ht="15" customHeight="1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7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6" customWidth="1" min="1" max="2"/>
    <col width="7" customWidth="1" min="3" max="3"/>
    <col width="12" customWidth="1" min="4" max="4"/>
    <col width="7" customWidth="1" min="5" max="5"/>
    <col width="12" customWidth="1" min="6" max="7"/>
    <col width="7" customWidth="1" min="8" max="8"/>
    <col width="10" customWidth="1" min="9" max="9"/>
    <col width="13" customWidth="1" min="10" max="13"/>
  </cols>
  <sheetData>
    <row r="1" ht="15.75" customHeight="1">
      <c r="A1" s="1" t="inlineStr">
        <is>
          <t>Patient Data (n = 100), imported &amp; labeled</t>
        </is>
      </c>
    </row>
    <row r="2" ht="15" customHeight="1">
      <c r="A2" s="2" t="inlineStr">
        <is>
          <t>Century-corrected DOB; LOS inserted after DOD; Age inserted after DOB; Sex1 inserted after Sex.</t>
        </is>
      </c>
    </row>
    <row r="4" ht="26.25" customHeight="1">
      <c r="A4" s="6" t="inlineStr">
        <is>
          <t>ID</t>
        </is>
      </c>
      <c r="B4" s="6" t="inlineStr">
        <is>
          <t>Sex</t>
        </is>
      </c>
      <c r="C4" s="6" t="inlineStr">
        <is>
          <t>Sex1</t>
        </is>
      </c>
      <c r="D4" s="6" t="inlineStr">
        <is>
          <t>DOB</t>
        </is>
      </c>
      <c r="E4" s="6" t="inlineStr">
        <is>
          <t>Age</t>
        </is>
      </c>
      <c r="F4" s="6" t="inlineStr">
        <is>
          <t>DOA</t>
        </is>
      </c>
      <c r="G4" s="6" t="inlineStr">
        <is>
          <t>DOD</t>
        </is>
      </c>
      <c r="H4" s="6" t="inlineStr">
        <is>
          <t>LOS</t>
        </is>
      </c>
      <c r="I4" s="6" t="inlineStr">
        <is>
          <t>DRG</t>
        </is>
      </c>
      <c r="J4" s="6" t="inlineStr">
        <is>
          <t>Charges</t>
        </is>
      </c>
      <c r="K4" s="6" t="inlineStr">
        <is>
          <t>Medicare</t>
        </is>
      </c>
      <c r="L4" s="6" t="inlineStr">
        <is>
          <t>Diag</t>
        </is>
      </c>
      <c r="M4" s="6" t="inlineStr">
        <is>
          <t>ICD-9</t>
        </is>
      </c>
    </row>
    <row r="5" ht="15" customHeight="1">
      <c r="A5" s="7" t="n">
        <v>1</v>
      </c>
      <c r="B5" s="7" t="inlineStr">
        <is>
          <t>F</t>
        </is>
      </c>
      <c r="C5" s="8">
        <f>IF(B5="F",1,0)</f>
        <v/>
      </c>
      <c r="D5" s="9" t="n">
        <v>20421</v>
      </c>
      <c r="E5" s="8">
        <f>YEAR(F5)-YEAR(D5)</f>
        <v/>
      </c>
      <c r="F5" s="9" t="n">
        <v>37510</v>
      </c>
      <c r="G5" s="9" t="n">
        <v>37514</v>
      </c>
      <c r="H5" s="8">
        <f>G5-F5</f>
        <v/>
      </c>
      <c r="I5" s="7" t="n">
        <v>294</v>
      </c>
      <c r="J5" s="10" t="n">
        <v>2426.48</v>
      </c>
      <c r="K5" s="10" t="n">
        <v>2003.62</v>
      </c>
      <c r="L5" s="7" t="n">
        <v>2</v>
      </c>
      <c r="M5" s="7" t="n">
        <v>0</v>
      </c>
    </row>
    <row r="6" ht="15" customHeight="1">
      <c r="A6" s="7" t="n">
        <v>2</v>
      </c>
      <c r="B6" s="7" t="inlineStr">
        <is>
          <t>F</t>
        </is>
      </c>
      <c r="C6" s="8">
        <f>IF(B6="F",1,0)</f>
        <v/>
      </c>
      <c r="D6" s="9" t="n">
        <v>5484</v>
      </c>
      <c r="E6" s="8">
        <f>YEAR(F6)-YEAR(D6)</f>
        <v/>
      </c>
      <c r="F6" s="9" t="n">
        <v>37360</v>
      </c>
      <c r="G6" s="9" t="n">
        <v>37368</v>
      </c>
      <c r="H6" s="8">
        <f>G6-F6</f>
        <v/>
      </c>
      <c r="I6" s="7" t="n">
        <v>139</v>
      </c>
      <c r="J6" s="10" t="n">
        <v>6815.61</v>
      </c>
      <c r="K6" s="10" t="n">
        <v>1072.17</v>
      </c>
      <c r="L6" s="7" t="n">
        <v>4</v>
      </c>
      <c r="M6" s="7" t="n">
        <v>4</v>
      </c>
    </row>
    <row r="7" ht="15" customHeight="1">
      <c r="A7" s="7" t="n">
        <v>3</v>
      </c>
      <c r="B7" s="7" t="inlineStr">
        <is>
          <t>F</t>
        </is>
      </c>
      <c r="C7" s="8">
        <f>IF(B7="F",1,0)</f>
        <v/>
      </c>
      <c r="D7" s="9" t="n">
        <v>11764</v>
      </c>
      <c r="E7" s="8">
        <f>YEAR(F7)-YEAR(D7)</f>
        <v/>
      </c>
      <c r="F7" s="9" t="n">
        <v>37378</v>
      </c>
      <c r="G7" s="9" t="n">
        <v>37387</v>
      </c>
      <c r="H7" s="8">
        <f>G7-F7</f>
        <v/>
      </c>
      <c r="I7" s="7" t="n">
        <v>34</v>
      </c>
      <c r="J7" s="10" t="n">
        <v>7596.68</v>
      </c>
      <c r="K7" s="10" t="n">
        <v>4096.98</v>
      </c>
      <c r="L7" s="7" t="n">
        <v>6</v>
      </c>
      <c r="M7" s="7" t="n">
        <v>0</v>
      </c>
    </row>
    <row r="8" ht="15" customHeight="1">
      <c r="A8" s="7" t="n">
        <v>4</v>
      </c>
      <c r="B8" s="7" t="inlineStr">
        <is>
          <t>M</t>
        </is>
      </c>
      <c r="C8" s="8">
        <f>IF(B8="F",1,0)</f>
        <v/>
      </c>
      <c r="D8" s="9" t="n">
        <v>10728</v>
      </c>
      <c r="E8" s="8">
        <f>YEAR(F8)-YEAR(D8)</f>
        <v/>
      </c>
      <c r="F8" s="9" t="n">
        <v>37292</v>
      </c>
      <c r="G8" s="9" t="n">
        <v>37297</v>
      </c>
      <c r="H8" s="8">
        <f>G8-F8</f>
        <v/>
      </c>
      <c r="I8" s="7" t="n">
        <v>140</v>
      </c>
      <c r="J8" s="10" t="n">
        <v>6450.77</v>
      </c>
      <c r="K8" s="10" t="n">
        <v>1710.79</v>
      </c>
      <c r="L8" s="7" t="n">
        <v>5</v>
      </c>
      <c r="M8" s="7" t="n">
        <v>0</v>
      </c>
    </row>
    <row r="9" ht="15" customHeight="1">
      <c r="A9" s="7" t="n">
        <v>5</v>
      </c>
      <c r="B9" s="7" t="inlineStr">
        <is>
          <t>F</t>
        </is>
      </c>
      <c r="C9" s="8">
        <f>IF(B9="F",1,0)</f>
        <v/>
      </c>
      <c r="D9" s="9" t="n">
        <v>7271</v>
      </c>
      <c r="E9" s="8">
        <f>YEAR(F9)-YEAR(D9)</f>
        <v/>
      </c>
      <c r="F9" s="9" t="n">
        <v>37355</v>
      </c>
      <c r="G9" s="9" t="n">
        <v>37358</v>
      </c>
      <c r="H9" s="8">
        <f>G9-F9</f>
        <v/>
      </c>
      <c r="I9" s="7" t="n">
        <v>141</v>
      </c>
      <c r="J9" s="10" t="n">
        <v>3542.79</v>
      </c>
      <c r="K9" s="10" t="n">
        <v>1914.9</v>
      </c>
      <c r="L9" s="7" t="n">
        <v>3</v>
      </c>
      <c r="M9" s="7" t="n">
        <v>7</v>
      </c>
    </row>
    <row r="10" ht="15" customHeight="1">
      <c r="A10" s="7" t="n">
        <v>6</v>
      </c>
      <c r="B10" s="7" t="inlineStr">
        <is>
          <t>F</t>
        </is>
      </c>
      <c r="C10" s="8">
        <f>IF(B10="F",1,0)</f>
        <v/>
      </c>
      <c r="D10" s="9" t="n">
        <v>6171</v>
      </c>
      <c r="E10" s="8">
        <f>YEAR(F10)-YEAR(D10)</f>
        <v/>
      </c>
      <c r="F10" s="9" t="n">
        <v>37269</v>
      </c>
      <c r="G10" s="9" t="n">
        <v>37271</v>
      </c>
      <c r="H10" s="8">
        <f>G10-F10</f>
        <v/>
      </c>
      <c r="I10" s="7" t="n">
        <v>15</v>
      </c>
      <c r="J10" s="10" t="n">
        <v>2590.86</v>
      </c>
      <c r="K10" s="10" t="n">
        <v>2601.14</v>
      </c>
      <c r="L10" s="7" t="n">
        <v>5</v>
      </c>
      <c r="M10" s="7" t="n">
        <v>4</v>
      </c>
    </row>
    <row r="11" ht="15" customHeight="1">
      <c r="A11" s="7" t="n">
        <v>7</v>
      </c>
      <c r="B11" s="7" t="inlineStr">
        <is>
          <t>F</t>
        </is>
      </c>
      <c r="C11" s="8">
        <f>IF(B11="F",1,0)</f>
        <v/>
      </c>
      <c r="D11" s="9" t="n">
        <v>10402</v>
      </c>
      <c r="E11" s="8">
        <f>YEAR(F11)-YEAR(D11)</f>
        <v/>
      </c>
      <c r="F11" s="9" t="n">
        <v>37296</v>
      </c>
      <c r="G11" s="9" t="n">
        <v>37301</v>
      </c>
      <c r="H11" s="8">
        <f>G11-F11</f>
        <v/>
      </c>
      <c r="I11" s="7" t="n">
        <v>294</v>
      </c>
      <c r="J11" s="10" t="n">
        <v>5082.83</v>
      </c>
      <c r="K11" s="10" t="n">
        <v>2035.31</v>
      </c>
      <c r="L11" s="7" t="n">
        <v>7</v>
      </c>
      <c r="M11" s="7" t="n">
        <v>2</v>
      </c>
    </row>
    <row r="12" ht="15" customHeight="1">
      <c r="A12" s="7" t="n">
        <v>8</v>
      </c>
      <c r="B12" s="7" t="inlineStr">
        <is>
          <t>M</t>
        </is>
      </c>
      <c r="C12" s="8">
        <f>IF(B12="F",1,0)</f>
        <v/>
      </c>
      <c r="D12" s="9" t="n">
        <v>13511</v>
      </c>
      <c r="E12" s="8">
        <f>YEAR(F12)-YEAR(D12)</f>
        <v/>
      </c>
      <c r="F12" s="9" t="n">
        <v>37510</v>
      </c>
      <c r="G12" s="9" t="n">
        <v>37516</v>
      </c>
      <c r="H12" s="8">
        <f>G12-F12</f>
        <v/>
      </c>
      <c r="I12" s="7" t="n">
        <v>241</v>
      </c>
      <c r="J12" s="10" t="n">
        <v>3580.55</v>
      </c>
      <c r="K12" s="10" t="n">
        <v>2320.42</v>
      </c>
      <c r="L12" s="7" t="n">
        <v>6</v>
      </c>
      <c r="M12" s="7" t="n">
        <v>0</v>
      </c>
    </row>
    <row r="13" ht="15" customHeight="1">
      <c r="A13" s="7" t="n">
        <v>9</v>
      </c>
      <c r="B13" s="7" t="inlineStr">
        <is>
          <t>M</t>
        </is>
      </c>
      <c r="C13" s="8">
        <f>IF(B13="F",1,0)</f>
        <v/>
      </c>
      <c r="D13" s="9" t="n">
        <v>10812</v>
      </c>
      <c r="E13" s="8">
        <f>YEAR(F13)-YEAR(D13)</f>
        <v/>
      </c>
      <c r="F13" s="9" t="n">
        <v>37560</v>
      </c>
      <c r="G13" s="9" t="n">
        <v>37566</v>
      </c>
      <c r="H13" s="8">
        <f>G13-F13</f>
        <v/>
      </c>
      <c r="I13" s="7" t="n">
        <v>335</v>
      </c>
      <c r="J13" s="10" t="n">
        <v>11045.79</v>
      </c>
      <c r="K13" s="10" t="n">
        <v>4184.26</v>
      </c>
      <c r="L13" s="7" t="n">
        <v>1</v>
      </c>
      <c r="M13" s="7" t="n">
        <v>0</v>
      </c>
    </row>
    <row r="14" ht="15" customHeight="1">
      <c r="A14" s="7" t="n">
        <v>10</v>
      </c>
      <c r="B14" s="7" t="inlineStr">
        <is>
          <t>F</t>
        </is>
      </c>
      <c r="C14" s="8">
        <f>IF(B14="F",1,0)</f>
        <v/>
      </c>
      <c r="D14" s="9" t="n">
        <v>2925</v>
      </c>
      <c r="E14" s="8">
        <f>YEAR(F14)-YEAR(D14)</f>
        <v/>
      </c>
      <c r="F14" s="9" t="n">
        <v>37571</v>
      </c>
      <c r="G14" s="9" t="n">
        <v>37585</v>
      </c>
      <c r="H14" s="8">
        <f>G14-F14</f>
        <v/>
      </c>
      <c r="I14" s="7" t="n">
        <v>148</v>
      </c>
      <c r="J14" s="10" t="n">
        <v>19708.11</v>
      </c>
      <c r="K14" s="10" t="n">
        <v>12158.49</v>
      </c>
      <c r="L14" s="7" t="n">
        <v>4</v>
      </c>
      <c r="M14" s="7" t="n">
        <v>0</v>
      </c>
    </row>
    <row r="15" ht="15" customHeight="1">
      <c r="A15" s="7" t="n">
        <v>11</v>
      </c>
      <c r="B15" s="7" t="inlineStr">
        <is>
          <t>F</t>
        </is>
      </c>
      <c r="C15" s="8">
        <f>IF(B15="F",1,0)</f>
        <v/>
      </c>
      <c r="D15" s="9" t="n">
        <v>2740</v>
      </c>
      <c r="E15" s="8">
        <f>YEAR(F15)-YEAR(D15)</f>
        <v/>
      </c>
      <c r="F15" s="9" t="n">
        <v>37408</v>
      </c>
      <c r="G15" s="9" t="n">
        <v>37419</v>
      </c>
      <c r="H15" s="8">
        <f>G15-F15</f>
        <v/>
      </c>
      <c r="I15" s="7" t="n">
        <v>89</v>
      </c>
      <c r="J15" s="10" t="n">
        <v>8953.379999999999</v>
      </c>
      <c r="K15" s="10" t="n">
        <v>4345.84</v>
      </c>
      <c r="L15" s="7" t="n">
        <v>4</v>
      </c>
      <c r="M15" s="7" t="n">
        <v>0</v>
      </c>
    </row>
    <row r="16" ht="15" customHeight="1">
      <c r="A16" s="7" t="n">
        <v>12</v>
      </c>
      <c r="B16" s="7" t="inlineStr">
        <is>
          <t>M</t>
        </is>
      </c>
      <c r="C16" s="8">
        <f>IF(B16="F",1,0)</f>
        <v/>
      </c>
      <c r="D16" s="9" t="n">
        <v>8535</v>
      </c>
      <c r="E16" s="8">
        <f>YEAR(F16)-YEAR(D16)</f>
        <v/>
      </c>
      <c r="F16" s="9" t="n">
        <v>37460</v>
      </c>
      <c r="G16" s="9" t="n">
        <v>37465</v>
      </c>
      <c r="H16" s="8">
        <f>G16-F16</f>
        <v/>
      </c>
      <c r="I16" s="7" t="n">
        <v>127</v>
      </c>
      <c r="J16" s="10" t="n">
        <v>7000.21</v>
      </c>
      <c r="K16" s="10" t="n">
        <v>3993.48</v>
      </c>
      <c r="L16" s="7" t="n">
        <v>5</v>
      </c>
      <c r="M16" s="7" t="n">
        <v>0</v>
      </c>
    </row>
    <row r="17" ht="15" customHeight="1">
      <c r="A17" s="7" t="n">
        <v>13</v>
      </c>
      <c r="B17" s="7" t="inlineStr">
        <is>
          <t>M</t>
        </is>
      </c>
      <c r="C17" s="8">
        <f>IF(B17="F",1,0)</f>
        <v/>
      </c>
      <c r="D17" s="9" t="n">
        <v>7488</v>
      </c>
      <c r="E17" s="8">
        <f>YEAR(F17)-YEAR(D17)</f>
        <v/>
      </c>
      <c r="F17" s="9" t="n">
        <v>37361</v>
      </c>
      <c r="G17" s="9" t="n">
        <v>37367</v>
      </c>
      <c r="H17" s="8">
        <f>G17-F17</f>
        <v/>
      </c>
      <c r="I17" s="7" t="n">
        <v>89</v>
      </c>
      <c r="J17" s="10" t="n">
        <v>5330.24</v>
      </c>
      <c r="K17" s="10" t="n">
        <v>3408.07</v>
      </c>
      <c r="L17" s="7" t="n">
        <v>4</v>
      </c>
      <c r="M17" s="7" t="n">
        <v>0</v>
      </c>
    </row>
    <row r="18" ht="15" customHeight="1">
      <c r="A18" s="7" t="n">
        <v>14</v>
      </c>
      <c r="B18" s="7" t="inlineStr">
        <is>
          <t>F</t>
        </is>
      </c>
      <c r="C18" s="8">
        <f>IF(B18="F",1,0)</f>
        <v/>
      </c>
      <c r="D18" s="9" t="n">
        <v>9759</v>
      </c>
      <c r="E18" s="8">
        <f>YEAR(F18)-YEAR(D18)</f>
        <v/>
      </c>
      <c r="F18" s="9" t="n">
        <v>37466</v>
      </c>
      <c r="G18" s="9" t="n">
        <v>37469</v>
      </c>
      <c r="H18" s="8">
        <f>G18-F18</f>
        <v/>
      </c>
      <c r="I18" s="7" t="n">
        <v>122</v>
      </c>
      <c r="J18" s="10" t="n">
        <v>6864.63</v>
      </c>
      <c r="K18" s="10" t="n">
        <v>3637.35</v>
      </c>
      <c r="L18" s="7" t="n">
        <v>5</v>
      </c>
      <c r="M18" s="7" t="n">
        <v>4</v>
      </c>
    </row>
    <row r="19" ht="15" customHeight="1">
      <c r="A19" s="7" t="n">
        <v>15</v>
      </c>
      <c r="B19" s="7" t="inlineStr">
        <is>
          <t>M</t>
        </is>
      </c>
      <c r="C19" s="8">
        <f>IF(B19="F",1,0)</f>
        <v/>
      </c>
      <c r="D19" s="9" t="n">
        <v>11115</v>
      </c>
      <c r="E19" s="8">
        <f>YEAR(F19)-YEAR(D19)</f>
        <v/>
      </c>
      <c r="F19" s="9" t="n">
        <v>37301</v>
      </c>
      <c r="G19" s="9" t="n">
        <v>37304</v>
      </c>
      <c r="H19" s="8">
        <f>G19-F19</f>
        <v/>
      </c>
      <c r="I19" s="7" t="n">
        <v>336</v>
      </c>
      <c r="J19" s="10" t="n">
        <v>4318.13</v>
      </c>
      <c r="K19" s="10" t="n">
        <v>2676.01</v>
      </c>
      <c r="L19" s="7" t="n">
        <v>2</v>
      </c>
      <c r="M19" s="7" t="n">
        <v>0</v>
      </c>
    </row>
    <row r="20" ht="15" customHeight="1">
      <c r="A20" s="7" t="n">
        <v>16</v>
      </c>
      <c r="B20" s="7" t="inlineStr">
        <is>
          <t>F</t>
        </is>
      </c>
      <c r="C20" s="8">
        <f>IF(B20="F",1,0)</f>
        <v/>
      </c>
      <c r="D20" s="9" t="n">
        <v>4183</v>
      </c>
      <c r="E20" s="8">
        <f>YEAR(F20)-YEAR(D20)</f>
        <v/>
      </c>
      <c r="F20" s="9" t="n">
        <v>37409</v>
      </c>
      <c r="G20" s="9" t="n">
        <v>37416</v>
      </c>
      <c r="H20" s="8">
        <f>G20-F20</f>
        <v/>
      </c>
      <c r="I20" s="7" t="n">
        <v>321</v>
      </c>
      <c r="J20" s="10" t="n">
        <v>6424.3</v>
      </c>
      <c r="K20" s="10" t="n">
        <v>1510.2</v>
      </c>
      <c r="L20" s="7" t="n">
        <v>3</v>
      </c>
      <c r="M20" s="7" t="n">
        <v>0</v>
      </c>
    </row>
    <row r="21" ht="15" customHeight="1">
      <c r="A21" s="7" t="n">
        <v>17</v>
      </c>
      <c r="B21" s="7" t="inlineStr">
        <is>
          <t>F</t>
        </is>
      </c>
      <c r="C21" s="8">
        <f>IF(B21="F",1,0)</f>
        <v/>
      </c>
      <c r="D21" s="9" t="n">
        <v>4595</v>
      </c>
      <c r="E21" s="8">
        <f>YEAR(F21)-YEAR(D21)</f>
        <v/>
      </c>
      <c r="F21" s="9" t="n">
        <v>37334</v>
      </c>
      <c r="G21" s="9" t="n">
        <v>37340</v>
      </c>
      <c r="H21" s="8">
        <f>G21-F21</f>
        <v/>
      </c>
      <c r="I21" s="7" t="n">
        <v>174</v>
      </c>
      <c r="J21" s="10" t="n">
        <v>5184.53</v>
      </c>
      <c r="K21" s="10" t="n">
        <v>3642.44</v>
      </c>
      <c r="L21" s="7" t="n">
        <v>6</v>
      </c>
      <c r="M21" s="7" t="n">
        <v>5</v>
      </c>
    </row>
    <row r="22" ht="15" customHeight="1">
      <c r="A22" s="7" t="n">
        <v>18</v>
      </c>
      <c r="B22" s="7" t="inlineStr">
        <is>
          <t>F</t>
        </is>
      </c>
      <c r="C22" s="8">
        <f>IF(B22="F",1,0)</f>
        <v/>
      </c>
      <c r="D22" s="9" t="n">
        <v>7181</v>
      </c>
      <c r="E22" s="8">
        <f>YEAR(F22)-YEAR(D22)</f>
        <v/>
      </c>
      <c r="F22" s="9" t="n">
        <v>37507</v>
      </c>
      <c r="G22" s="9" t="n">
        <v>37510</v>
      </c>
      <c r="H22" s="8">
        <f>G22-F22</f>
        <v/>
      </c>
      <c r="I22" s="7" t="n">
        <v>143</v>
      </c>
      <c r="J22" s="10" t="n">
        <v>1871.78</v>
      </c>
      <c r="K22" s="10" t="n">
        <v>1167.65</v>
      </c>
      <c r="L22" s="7" t="n">
        <v>6</v>
      </c>
      <c r="M22" s="7" t="n">
        <v>0</v>
      </c>
    </row>
    <row r="23" ht="15" customHeight="1">
      <c r="A23" s="7" t="n">
        <v>19</v>
      </c>
      <c r="B23" s="7" t="inlineStr">
        <is>
          <t>F</t>
        </is>
      </c>
      <c r="C23" s="8">
        <f>IF(B23="F",1,0)</f>
        <v/>
      </c>
      <c r="D23" s="9" t="n">
        <v>7368</v>
      </c>
      <c r="E23" s="8">
        <f>YEAR(F23)-YEAR(D23)</f>
        <v/>
      </c>
      <c r="F23" s="9" t="n">
        <v>37282</v>
      </c>
      <c r="G23" s="9" t="n">
        <v>37293</v>
      </c>
      <c r="H23" s="8">
        <f>G23-F23</f>
        <v/>
      </c>
      <c r="I23" s="7" t="n">
        <v>358</v>
      </c>
      <c r="J23" s="10" t="n">
        <v>11179.97</v>
      </c>
      <c r="K23" s="10" t="n">
        <v>3432.13</v>
      </c>
      <c r="L23" s="7" t="n">
        <v>9</v>
      </c>
      <c r="M23" s="7" t="n">
        <v>6</v>
      </c>
    </row>
    <row r="24" ht="15" customHeight="1">
      <c r="A24" s="7" t="n">
        <v>20</v>
      </c>
      <c r="B24" s="7" t="inlineStr">
        <is>
          <t>F</t>
        </is>
      </c>
      <c r="C24" s="8">
        <f>IF(B24="F",1,0)</f>
        <v/>
      </c>
      <c r="D24" s="9" t="n">
        <v>19421</v>
      </c>
      <c r="E24" s="8">
        <f>YEAR(F24)-YEAR(D24)</f>
        <v/>
      </c>
      <c r="F24" s="9" t="n">
        <v>37591</v>
      </c>
      <c r="G24" s="9" t="n">
        <v>37593</v>
      </c>
      <c r="H24" s="8">
        <f>G24-F24</f>
        <v/>
      </c>
      <c r="I24" s="7" t="n">
        <v>140</v>
      </c>
      <c r="J24" s="10" t="n">
        <v>3405.38</v>
      </c>
      <c r="K24" s="10" t="n">
        <v>1710.79</v>
      </c>
      <c r="L24" s="7" t="n">
        <v>1</v>
      </c>
      <c r="M24" s="7" t="n">
        <v>0</v>
      </c>
    </row>
    <row r="25" ht="15" customHeight="1">
      <c r="A25" s="7" t="n">
        <v>21</v>
      </c>
      <c r="B25" s="7" t="inlineStr">
        <is>
          <t>F</t>
        </is>
      </c>
      <c r="C25" s="8">
        <f>IF(B25="F",1,0)</f>
        <v/>
      </c>
      <c r="D25" s="9" t="n">
        <v>5487</v>
      </c>
      <c r="E25" s="8">
        <f>YEAR(F25)-YEAR(D25)</f>
        <v/>
      </c>
      <c r="F25" s="9" t="n">
        <v>37290</v>
      </c>
      <c r="G25" s="9" t="n">
        <v>37292</v>
      </c>
      <c r="H25" s="8">
        <f>G25-F25</f>
        <v/>
      </c>
      <c r="I25" s="7" t="n">
        <v>143</v>
      </c>
      <c r="J25" s="10" t="n">
        <v>1731.73</v>
      </c>
      <c r="K25" s="10" t="n">
        <v>1979.28</v>
      </c>
      <c r="L25" s="7" t="n">
        <v>4</v>
      </c>
      <c r="M25" s="7" t="n">
        <v>7</v>
      </c>
    </row>
    <row r="26" ht="15" customHeight="1">
      <c r="A26" s="7" t="n">
        <v>22</v>
      </c>
      <c r="B26" s="7" t="inlineStr">
        <is>
          <t>F</t>
        </is>
      </c>
      <c r="C26" s="8">
        <f>IF(B26="F",1,0)</f>
        <v/>
      </c>
      <c r="D26" s="9" t="n">
        <v>10179</v>
      </c>
      <c r="E26" s="8">
        <f>YEAR(F26)-YEAR(D26)</f>
        <v/>
      </c>
      <c r="F26" s="9" t="n">
        <v>37457</v>
      </c>
      <c r="G26" s="9" t="n">
        <v>37459</v>
      </c>
      <c r="H26" s="8">
        <f>G26-F26</f>
        <v/>
      </c>
      <c r="I26" s="7" t="n">
        <v>159</v>
      </c>
      <c r="J26" s="10" t="n">
        <v>5384.92</v>
      </c>
      <c r="K26" s="10" t="n">
        <v>3316.59</v>
      </c>
      <c r="L26" s="7" t="n">
        <v>2</v>
      </c>
      <c r="M26" s="7" t="n">
        <v>0</v>
      </c>
    </row>
    <row r="27" ht="15" customHeight="1">
      <c r="A27" s="7" t="n">
        <v>23</v>
      </c>
      <c r="B27" s="7" t="inlineStr">
        <is>
          <t>M</t>
        </is>
      </c>
      <c r="C27" s="8">
        <f>IF(B27="F",1,0)</f>
        <v/>
      </c>
      <c r="D27" s="9" t="n">
        <v>7697</v>
      </c>
      <c r="E27" s="8">
        <f>YEAR(F27)-YEAR(D27)</f>
        <v/>
      </c>
      <c r="F27" s="9" t="n">
        <v>37491</v>
      </c>
      <c r="G27" s="9" t="n">
        <v>37498</v>
      </c>
      <c r="H27" s="8">
        <f>G27-F27</f>
        <v/>
      </c>
      <c r="I27" s="7" t="n">
        <v>89</v>
      </c>
      <c r="J27" s="10" t="n">
        <v>5216.91</v>
      </c>
      <c r="K27" s="10" t="n">
        <v>3613.06</v>
      </c>
      <c r="L27" s="7" t="n">
        <v>2</v>
      </c>
      <c r="M27" s="7" t="n">
        <v>4</v>
      </c>
    </row>
    <row r="28" ht="15" customHeight="1">
      <c r="A28" s="7" t="n">
        <v>24</v>
      </c>
      <c r="B28" s="7" t="inlineStr">
        <is>
          <t>F</t>
        </is>
      </c>
      <c r="C28" s="8">
        <f>IF(B28="F",1,0)</f>
        <v/>
      </c>
      <c r="D28" s="9" t="n">
        <v>9625</v>
      </c>
      <c r="E28" s="8">
        <f>YEAR(F28)-YEAR(D28)</f>
        <v/>
      </c>
      <c r="F28" s="9" t="n">
        <v>37376</v>
      </c>
      <c r="G28" s="9" t="n">
        <v>37380</v>
      </c>
      <c r="H28" s="8">
        <f>G28-F28</f>
        <v/>
      </c>
      <c r="I28" s="7" t="n">
        <v>294</v>
      </c>
      <c r="J28" s="10" t="n">
        <v>2489.65</v>
      </c>
      <c r="K28" s="10" t="n">
        <v>2201.93</v>
      </c>
      <c r="L28" s="7" t="n">
        <v>3</v>
      </c>
      <c r="M28" s="7" t="n">
        <v>0</v>
      </c>
    </row>
    <row r="29" ht="15" customHeight="1">
      <c r="A29" s="7" t="n">
        <v>25</v>
      </c>
      <c r="B29" s="7" t="inlineStr">
        <is>
          <t>F</t>
        </is>
      </c>
      <c r="C29" s="8">
        <f>IF(B29="F",1,0)</f>
        <v/>
      </c>
      <c r="D29" s="9" t="n">
        <v>6588</v>
      </c>
      <c r="E29" s="8">
        <f>YEAR(F29)-YEAR(D29)</f>
        <v/>
      </c>
      <c r="F29" s="9" t="n">
        <v>37268</v>
      </c>
      <c r="G29" s="9" t="n">
        <v>37278</v>
      </c>
      <c r="H29" s="8">
        <f>G29-F29</f>
        <v/>
      </c>
      <c r="I29" s="7" t="n">
        <v>473</v>
      </c>
      <c r="J29" s="10" t="n">
        <v>8244.25</v>
      </c>
      <c r="K29" s="10" t="n">
        <v>12772.75</v>
      </c>
      <c r="L29" s="7" t="n">
        <v>4</v>
      </c>
      <c r="M29" s="7" t="n">
        <v>0</v>
      </c>
    </row>
    <row r="30" ht="15" customHeight="1">
      <c r="A30" s="7" t="n">
        <v>26</v>
      </c>
      <c r="B30" s="7" t="inlineStr">
        <is>
          <t>F</t>
        </is>
      </c>
      <c r="C30" s="8">
        <f>IF(B30="F",1,0)</f>
        <v/>
      </c>
      <c r="D30" s="9" t="n">
        <v>6837</v>
      </c>
      <c r="E30" s="8">
        <f>YEAR(F30)-YEAR(D30)</f>
        <v/>
      </c>
      <c r="F30" s="9" t="n">
        <v>37329</v>
      </c>
      <c r="G30" s="9" t="n">
        <v>37335</v>
      </c>
      <c r="H30" s="8">
        <f>G30-F30</f>
        <v/>
      </c>
      <c r="I30" s="7" t="n">
        <v>128</v>
      </c>
      <c r="J30" s="10" t="n">
        <v>3548.05</v>
      </c>
      <c r="K30" s="10" t="n">
        <v>2163.29</v>
      </c>
      <c r="L30" s="7" t="n">
        <v>8</v>
      </c>
      <c r="M30" s="7" t="n">
        <v>4</v>
      </c>
    </row>
    <row r="31" ht="15" customHeight="1">
      <c r="A31" s="7" t="n">
        <v>27</v>
      </c>
      <c r="B31" s="7" t="inlineStr">
        <is>
          <t>F</t>
        </is>
      </c>
      <c r="C31" s="8">
        <f>IF(B31="F",1,0)</f>
        <v/>
      </c>
      <c r="D31" s="9" t="n">
        <v>9466</v>
      </c>
      <c r="E31" s="8">
        <f>YEAR(F31)-YEAR(D31)</f>
        <v/>
      </c>
      <c r="F31" s="9" t="n">
        <v>37404</v>
      </c>
      <c r="G31" s="9" t="n">
        <v>37407</v>
      </c>
      <c r="H31" s="8">
        <f>G31-F31</f>
        <v/>
      </c>
      <c r="I31" s="7" t="n">
        <v>15</v>
      </c>
      <c r="J31" s="10" t="n">
        <v>4713.26</v>
      </c>
      <c r="K31" s="10" t="n">
        <v>1801.73</v>
      </c>
      <c r="L31" s="7" t="n">
        <v>4</v>
      </c>
      <c r="M31" s="7" t="n">
        <v>0</v>
      </c>
    </row>
    <row r="32" ht="15" customHeight="1">
      <c r="A32" s="7" t="n">
        <v>28</v>
      </c>
      <c r="B32" s="7" t="inlineStr">
        <is>
          <t>F</t>
        </is>
      </c>
      <c r="C32" s="8">
        <f>IF(B32="F",1,0)</f>
        <v/>
      </c>
      <c r="D32" s="9" t="n">
        <v>2959</v>
      </c>
      <c r="E32" s="8">
        <f>YEAR(F32)-YEAR(D32)</f>
        <v/>
      </c>
      <c r="F32" s="9" t="n">
        <v>37599</v>
      </c>
      <c r="G32" s="9" t="n">
        <v>37605</v>
      </c>
      <c r="H32" s="8">
        <f>G32-F32</f>
        <v/>
      </c>
      <c r="I32" s="7" t="n">
        <v>121</v>
      </c>
      <c r="J32" s="10" t="n">
        <v>5804.21</v>
      </c>
      <c r="K32" s="10" t="n">
        <v>5282.36</v>
      </c>
      <c r="L32" s="7" t="n">
        <v>5</v>
      </c>
      <c r="M32" s="7" t="n">
        <v>7</v>
      </c>
    </row>
    <row r="33" ht="15" customHeight="1">
      <c r="A33" s="7" t="n">
        <v>29</v>
      </c>
      <c r="B33" s="7" t="inlineStr">
        <is>
          <t>F</t>
        </is>
      </c>
      <c r="C33" s="8">
        <f>IF(B33="F",1,0)</f>
        <v/>
      </c>
      <c r="D33" s="9" t="n">
        <v>13312</v>
      </c>
      <c r="E33" s="8">
        <f>YEAR(F33)-YEAR(D33)</f>
        <v/>
      </c>
      <c r="F33" s="9" t="n">
        <v>37272</v>
      </c>
      <c r="G33" s="9" t="n">
        <v>37278</v>
      </c>
      <c r="H33" s="8">
        <f>G33-F33</f>
        <v/>
      </c>
      <c r="I33" s="7" t="n">
        <v>128</v>
      </c>
      <c r="J33" s="10" t="n">
        <v>2945.22</v>
      </c>
      <c r="K33" s="10" t="n">
        <v>2849.72</v>
      </c>
      <c r="L33" s="7" t="n">
        <v>2</v>
      </c>
      <c r="M33" s="7" t="n">
        <v>0</v>
      </c>
    </row>
    <row r="34" ht="15" customHeight="1">
      <c r="A34" s="7" t="n">
        <v>30</v>
      </c>
      <c r="B34" s="7" t="inlineStr">
        <is>
          <t>M</t>
        </is>
      </c>
      <c r="C34" s="8">
        <f>IF(B34="F",1,0)</f>
        <v/>
      </c>
      <c r="D34" s="9" t="n">
        <v>11109</v>
      </c>
      <c r="E34" s="8">
        <f>YEAR(F34)-YEAR(D34)</f>
        <v/>
      </c>
      <c r="F34" s="9" t="n">
        <v>37453</v>
      </c>
      <c r="G34" s="9" t="n">
        <v>37454</v>
      </c>
      <c r="H34" s="8">
        <f>G34-F34</f>
        <v/>
      </c>
      <c r="I34" s="7" t="n">
        <v>140</v>
      </c>
      <c r="J34" s="10" t="n">
        <v>1035.75</v>
      </c>
      <c r="K34" s="10" t="n">
        <v>1685.62</v>
      </c>
      <c r="L34" s="7" t="n">
        <v>5</v>
      </c>
      <c r="M34" s="7" t="n">
        <v>4</v>
      </c>
    </row>
    <row r="35" ht="15" customHeight="1">
      <c r="A35" s="7" t="n">
        <v>31</v>
      </c>
      <c r="B35" s="7" t="inlineStr">
        <is>
          <t>M</t>
        </is>
      </c>
      <c r="C35" s="8">
        <f>IF(B35="F",1,0)</f>
        <v/>
      </c>
      <c r="D35" s="9" t="n">
        <v>8840</v>
      </c>
      <c r="E35" s="8">
        <f>YEAR(F35)-YEAR(D35)</f>
        <v/>
      </c>
      <c r="F35" s="9" t="n">
        <v>37442</v>
      </c>
      <c r="G35" s="9" t="n">
        <v>37445</v>
      </c>
      <c r="H35" s="8">
        <f>G35-F35</f>
        <v/>
      </c>
      <c r="I35" s="7" t="n">
        <v>209</v>
      </c>
      <c r="J35" s="10" t="n">
        <v>17005.45</v>
      </c>
      <c r="K35" s="10" t="n">
        <v>7534.44</v>
      </c>
      <c r="L35" s="7" t="n">
        <v>1</v>
      </c>
      <c r="M35" s="7" t="n">
        <v>7</v>
      </c>
    </row>
    <row r="36" ht="15" customHeight="1">
      <c r="A36" s="7" t="n">
        <v>32</v>
      </c>
      <c r="B36" s="7" t="inlineStr">
        <is>
          <t>F</t>
        </is>
      </c>
      <c r="C36" s="8">
        <f>IF(B36="F",1,0)</f>
        <v/>
      </c>
      <c r="D36" s="9" t="n">
        <v>6085</v>
      </c>
      <c r="E36" s="8">
        <f>YEAR(F36)-YEAR(D36)</f>
        <v/>
      </c>
      <c r="F36" s="9" t="n">
        <v>37317</v>
      </c>
      <c r="G36" s="9" t="n">
        <v>37320</v>
      </c>
      <c r="H36" s="8">
        <f>G36-F36</f>
        <v/>
      </c>
      <c r="I36" s="7" t="n">
        <v>143</v>
      </c>
      <c r="J36" s="10" t="n">
        <v>4637.96</v>
      </c>
      <c r="K36" s="10" t="n">
        <v>1447.84</v>
      </c>
      <c r="L36" s="7" t="n">
        <v>5</v>
      </c>
      <c r="M36" s="7" t="n">
        <v>0</v>
      </c>
    </row>
    <row r="37" ht="15" customHeight="1">
      <c r="A37" s="7" t="n">
        <v>33</v>
      </c>
      <c r="B37" s="7" t="inlineStr">
        <is>
          <t>F</t>
        </is>
      </c>
      <c r="C37" s="8">
        <f>IF(B37="F",1,0)</f>
        <v/>
      </c>
      <c r="D37" s="9" t="n">
        <v>11867</v>
      </c>
      <c r="E37" s="8">
        <f>YEAR(F37)-YEAR(D37)</f>
        <v/>
      </c>
      <c r="F37" s="9" t="n">
        <v>37580</v>
      </c>
      <c r="G37" s="9" t="n">
        <v>37585</v>
      </c>
      <c r="H37" s="8">
        <f>G37-F37</f>
        <v/>
      </c>
      <c r="I37" s="7" t="n">
        <v>209</v>
      </c>
      <c r="J37" s="10" t="n">
        <v>17480.97</v>
      </c>
      <c r="K37" s="10" t="n">
        <v>7566.98</v>
      </c>
      <c r="L37" s="7" t="n">
        <v>5</v>
      </c>
      <c r="M37" s="7" t="n">
        <v>0</v>
      </c>
    </row>
    <row r="38" ht="15" customHeight="1">
      <c r="A38" s="7" t="n">
        <v>34</v>
      </c>
      <c r="B38" s="7" t="inlineStr">
        <is>
          <t>M</t>
        </is>
      </c>
      <c r="C38" s="8">
        <f>IF(B38="F",1,0)</f>
        <v/>
      </c>
      <c r="D38" s="9" t="n">
        <v>11190</v>
      </c>
      <c r="E38" s="8">
        <f>YEAR(F38)-YEAR(D38)</f>
        <v/>
      </c>
      <c r="F38" s="9" t="n">
        <v>37374</v>
      </c>
      <c r="G38" s="9" t="n">
        <v>37379</v>
      </c>
      <c r="H38" s="8">
        <f>G38-F38</f>
        <v/>
      </c>
      <c r="I38" s="7" t="n">
        <v>96</v>
      </c>
      <c r="J38" s="10" t="n">
        <v>5029.09</v>
      </c>
      <c r="K38" s="10" t="n">
        <v>3306.8</v>
      </c>
      <c r="L38" s="7" t="n">
        <v>8</v>
      </c>
      <c r="M38" s="7" t="n">
        <v>4</v>
      </c>
    </row>
    <row r="39" ht="15" customHeight="1">
      <c r="A39" s="7" t="n">
        <v>35</v>
      </c>
      <c r="B39" s="7" t="inlineStr">
        <is>
          <t>M</t>
        </is>
      </c>
      <c r="C39" s="8">
        <f>IF(B39="F",1,0)</f>
        <v/>
      </c>
      <c r="D39" s="9" t="n">
        <v>4320</v>
      </c>
      <c r="E39" s="8">
        <f>YEAR(F39)-YEAR(D39)</f>
        <v/>
      </c>
      <c r="F39" s="9" t="n">
        <v>37333</v>
      </c>
      <c r="G39" s="9" t="n">
        <v>37336</v>
      </c>
      <c r="H39" s="8">
        <f>G39-F39</f>
        <v/>
      </c>
      <c r="I39" s="7" t="n">
        <v>144</v>
      </c>
      <c r="J39" s="10" t="n">
        <v>3078.99</v>
      </c>
      <c r="K39" s="10" t="n">
        <v>3351.64</v>
      </c>
      <c r="L39" s="7" t="n">
        <v>5</v>
      </c>
      <c r="M39" s="7" t="n">
        <v>4</v>
      </c>
    </row>
    <row r="40" ht="15" customHeight="1">
      <c r="A40" s="7" t="n">
        <v>36</v>
      </c>
      <c r="B40" s="7" t="inlineStr">
        <is>
          <t>M</t>
        </is>
      </c>
      <c r="C40" s="8">
        <f>IF(B40="F",1,0)</f>
        <v/>
      </c>
      <c r="D40" s="9" t="n">
        <v>9941</v>
      </c>
      <c r="E40" s="8">
        <f>YEAR(F40)-YEAR(D40)</f>
        <v/>
      </c>
      <c r="F40" s="9" t="n">
        <v>37360</v>
      </c>
      <c r="G40" s="9" t="n">
        <v>37362</v>
      </c>
      <c r="H40" s="8">
        <f>G40-F40</f>
        <v/>
      </c>
      <c r="I40" s="7" t="n">
        <v>90</v>
      </c>
      <c r="J40" s="10" t="n">
        <v>2146.99</v>
      </c>
      <c r="K40" s="10" t="n">
        <v>1968.05</v>
      </c>
      <c r="L40" s="7" t="n">
        <v>2</v>
      </c>
      <c r="M40" s="7" t="n">
        <v>4</v>
      </c>
    </row>
    <row r="41" ht="15" customHeight="1">
      <c r="A41" s="7" t="n">
        <v>37</v>
      </c>
      <c r="B41" s="7" t="inlineStr">
        <is>
          <t>F</t>
        </is>
      </c>
      <c r="C41" s="8">
        <f>IF(B41="F",1,0)</f>
        <v/>
      </c>
      <c r="D41" s="9" t="n">
        <v>7261</v>
      </c>
      <c r="E41" s="8">
        <f>YEAR(F41)-YEAR(D41)</f>
        <v/>
      </c>
      <c r="F41" s="9" t="n">
        <v>37568</v>
      </c>
      <c r="G41" s="9" t="n">
        <v>37574</v>
      </c>
      <c r="H41" s="8">
        <f>G41-F41</f>
        <v/>
      </c>
      <c r="I41" s="7" t="n">
        <v>88</v>
      </c>
      <c r="J41" s="10" t="n">
        <v>5482.93</v>
      </c>
      <c r="K41" s="10" t="n">
        <v>3147.39</v>
      </c>
      <c r="L41" s="7" t="n">
        <v>2</v>
      </c>
      <c r="M41" s="7" t="n">
        <v>0</v>
      </c>
    </row>
    <row r="42" ht="15" customHeight="1">
      <c r="A42" s="7" t="n">
        <v>38</v>
      </c>
      <c r="B42" s="7" t="inlineStr">
        <is>
          <t>M</t>
        </is>
      </c>
      <c r="C42" s="8">
        <f>IF(B42="F",1,0)</f>
        <v/>
      </c>
      <c r="D42" s="9" t="n">
        <v>7568</v>
      </c>
      <c r="E42" s="8">
        <f>YEAR(F42)-YEAR(D42)</f>
        <v/>
      </c>
      <c r="F42" s="9" t="n">
        <v>37613</v>
      </c>
      <c r="G42" s="9" t="n">
        <v>37614</v>
      </c>
      <c r="H42" s="8">
        <f>G42-F42</f>
        <v/>
      </c>
      <c r="I42" s="7" t="n">
        <v>183</v>
      </c>
      <c r="J42" s="10" t="n">
        <v>1078.56</v>
      </c>
      <c r="K42" s="10" t="n">
        <v>1386.42</v>
      </c>
      <c r="L42" s="7" t="n">
        <v>6</v>
      </c>
      <c r="M42" s="7" t="n">
        <v>5</v>
      </c>
    </row>
    <row r="43" ht="15" customHeight="1">
      <c r="A43" s="7" t="n">
        <v>39</v>
      </c>
      <c r="B43" s="7" t="inlineStr">
        <is>
          <t>F</t>
        </is>
      </c>
      <c r="C43" s="8">
        <f>IF(B43="F",1,0)</f>
        <v/>
      </c>
      <c r="D43" s="9" t="n">
        <v>7463</v>
      </c>
      <c r="E43" s="8">
        <f>YEAR(F43)-YEAR(D43)</f>
        <v/>
      </c>
      <c r="F43" s="9" t="n">
        <v>37278</v>
      </c>
      <c r="G43" s="9" t="n">
        <v>37288</v>
      </c>
      <c r="H43" s="8">
        <f>G43-F43</f>
        <v/>
      </c>
      <c r="I43" s="7" t="n">
        <v>430</v>
      </c>
      <c r="J43" s="10" t="n">
        <v>9931.209999999999</v>
      </c>
      <c r="K43" s="10" t="n">
        <v>3530</v>
      </c>
      <c r="L43" s="7" t="n">
        <v>1</v>
      </c>
      <c r="M43" s="7" t="n">
        <v>0</v>
      </c>
    </row>
    <row r="44" ht="15" customHeight="1">
      <c r="A44" s="7" t="n">
        <v>40</v>
      </c>
      <c r="B44" s="7" t="inlineStr">
        <is>
          <t>F</t>
        </is>
      </c>
      <c r="C44" s="8">
        <f>IF(B44="F",1,0)</f>
        <v/>
      </c>
      <c r="D44" s="9" t="n">
        <v>3715</v>
      </c>
      <c r="E44" s="8">
        <f>YEAR(F44)-YEAR(D44)</f>
        <v/>
      </c>
      <c r="F44" s="9" t="n">
        <v>37433</v>
      </c>
      <c r="G44" s="9" t="n">
        <v>37435</v>
      </c>
      <c r="H44" s="8">
        <f>G44-F44</f>
        <v/>
      </c>
      <c r="I44" s="7" t="n">
        <v>138</v>
      </c>
      <c r="J44" s="10" t="n">
        <v>2451.69</v>
      </c>
      <c r="K44" s="10" t="n">
        <v>2266.56</v>
      </c>
      <c r="L44" s="7" t="n">
        <v>2</v>
      </c>
      <c r="M44" s="7" t="n">
        <v>4</v>
      </c>
    </row>
    <row r="45" ht="15" customHeight="1">
      <c r="A45" s="7" t="n">
        <v>41</v>
      </c>
      <c r="B45" s="7" t="inlineStr">
        <is>
          <t>F</t>
        </is>
      </c>
      <c r="C45" s="8">
        <f>IF(B45="F",1,0)</f>
        <v/>
      </c>
      <c r="D45" s="9" t="n">
        <v>8615</v>
      </c>
      <c r="E45" s="8">
        <f>YEAR(F45)-YEAR(D45)</f>
        <v/>
      </c>
      <c r="F45" s="9" t="n">
        <v>37552</v>
      </c>
      <c r="G45" s="9" t="n">
        <v>37554</v>
      </c>
      <c r="H45" s="8">
        <f>G45-F45</f>
        <v/>
      </c>
      <c r="I45" s="7" t="n">
        <v>88</v>
      </c>
      <c r="J45" s="10" t="n">
        <v>2834.68</v>
      </c>
      <c r="K45" s="10" t="n">
        <v>3579.24</v>
      </c>
      <c r="L45" s="7" t="n">
        <v>1</v>
      </c>
      <c r="M45" s="7" t="n">
        <v>0</v>
      </c>
    </row>
    <row r="46" ht="15" customHeight="1">
      <c r="A46" s="7" t="n">
        <v>42</v>
      </c>
      <c r="B46" s="7" t="inlineStr">
        <is>
          <t>F</t>
        </is>
      </c>
      <c r="C46" s="8">
        <f>IF(B46="F",1,0)</f>
        <v/>
      </c>
      <c r="D46" s="9" t="n">
        <v>12184</v>
      </c>
      <c r="E46" s="8">
        <f>YEAR(F46)-YEAR(D46)</f>
        <v/>
      </c>
      <c r="F46" s="9" t="n">
        <v>37620</v>
      </c>
      <c r="G46" s="9" t="n">
        <v>37622</v>
      </c>
      <c r="H46" s="8">
        <f>G46-F46</f>
        <v/>
      </c>
      <c r="I46" s="7" t="n">
        <v>447</v>
      </c>
      <c r="J46" s="10" t="n">
        <v>1547.81</v>
      </c>
      <c r="K46" s="10" t="n">
        <v>988</v>
      </c>
      <c r="L46" s="7" t="n">
        <v>3</v>
      </c>
      <c r="M46" s="7" t="n">
        <v>0</v>
      </c>
    </row>
    <row r="47" ht="15" customHeight="1">
      <c r="A47" s="7" t="n">
        <v>43</v>
      </c>
      <c r="B47" s="7" t="inlineStr">
        <is>
          <t>F</t>
        </is>
      </c>
      <c r="C47" s="8">
        <f>IF(B47="F",1,0)</f>
        <v/>
      </c>
      <c r="D47" s="9" t="n">
        <v>9712</v>
      </c>
      <c r="E47" s="8">
        <f>YEAR(F47)-YEAR(D47)</f>
        <v/>
      </c>
      <c r="F47" s="9" t="n">
        <v>37403</v>
      </c>
      <c r="G47" s="9" t="n">
        <v>37406</v>
      </c>
      <c r="H47" s="8">
        <f>G47-F47</f>
        <v/>
      </c>
      <c r="I47" s="7" t="n">
        <v>183</v>
      </c>
      <c r="J47" s="10" t="n">
        <v>1876.7</v>
      </c>
      <c r="K47" s="10" t="n">
        <v>1235.8</v>
      </c>
      <c r="L47" s="7" t="n">
        <v>1</v>
      </c>
      <c r="M47" s="7" t="n">
        <v>0</v>
      </c>
    </row>
    <row r="48" ht="15" customHeight="1">
      <c r="A48" s="7" t="n">
        <v>44</v>
      </c>
      <c r="B48" s="7" t="inlineStr">
        <is>
          <t>M</t>
        </is>
      </c>
      <c r="C48" s="8">
        <f>IF(B48="F",1,0)</f>
        <v/>
      </c>
      <c r="D48" s="9" t="n">
        <v>10748</v>
      </c>
      <c r="E48" s="8">
        <f>YEAR(F48)-YEAR(D48)</f>
        <v/>
      </c>
      <c r="F48" s="9" t="n">
        <v>37357</v>
      </c>
      <c r="G48" s="9" t="n">
        <v>37359</v>
      </c>
      <c r="H48" s="8">
        <f>G48-F48</f>
        <v/>
      </c>
      <c r="I48" s="7" t="n">
        <v>140</v>
      </c>
      <c r="J48" s="10" t="n">
        <v>2781.28</v>
      </c>
      <c r="K48" s="10" t="n">
        <v>1483.79</v>
      </c>
      <c r="L48" s="7" t="n">
        <v>4</v>
      </c>
      <c r="M48" s="7" t="n">
        <v>0</v>
      </c>
    </row>
    <row r="49" ht="15" customHeight="1">
      <c r="A49" s="7" t="n">
        <v>45</v>
      </c>
      <c r="B49" s="7" t="inlineStr">
        <is>
          <t>F</t>
        </is>
      </c>
      <c r="C49" s="8">
        <f>IF(B49="F",1,0)</f>
        <v/>
      </c>
      <c r="D49" s="9" t="n">
        <v>7022</v>
      </c>
      <c r="E49" s="8">
        <f>YEAR(F49)-YEAR(D49)</f>
        <v/>
      </c>
      <c r="F49" s="9" t="n">
        <v>37319</v>
      </c>
      <c r="G49" s="9" t="n">
        <v>37325</v>
      </c>
      <c r="H49" s="8">
        <f>G49-F49</f>
        <v/>
      </c>
      <c r="I49" s="7" t="n">
        <v>127</v>
      </c>
      <c r="J49" s="10" t="n">
        <v>6460.59</v>
      </c>
      <c r="K49" s="10" t="n">
        <v>3993.48</v>
      </c>
      <c r="L49" s="7" t="n">
        <v>5</v>
      </c>
      <c r="M49" s="7" t="n">
        <v>0</v>
      </c>
    </row>
    <row r="50" ht="15" customHeight="1">
      <c r="A50" s="7" t="n">
        <v>46</v>
      </c>
      <c r="B50" s="7" t="inlineStr">
        <is>
          <t>F</t>
        </is>
      </c>
      <c r="C50" s="8">
        <f>IF(B50="F",1,0)</f>
        <v/>
      </c>
      <c r="D50" s="9" t="n">
        <v>8263</v>
      </c>
      <c r="E50" s="8">
        <f>YEAR(F50)-YEAR(D50)</f>
        <v/>
      </c>
      <c r="F50" s="9" t="n">
        <v>37276</v>
      </c>
      <c r="G50" s="9" t="n">
        <v>37280</v>
      </c>
      <c r="H50" s="8">
        <f>G50-F50</f>
        <v/>
      </c>
      <c r="I50" s="7" t="n">
        <v>444</v>
      </c>
      <c r="J50" s="10" t="n">
        <v>3026.42</v>
      </c>
      <c r="K50" s="10" t="n">
        <v>1918.32</v>
      </c>
      <c r="L50" s="7" t="n">
        <v>1</v>
      </c>
      <c r="M50" s="7" t="n">
        <v>6</v>
      </c>
    </row>
    <row r="51" ht="15" customHeight="1">
      <c r="A51" s="7" t="n">
        <v>47</v>
      </c>
      <c r="B51" s="7" t="inlineStr">
        <is>
          <t>F</t>
        </is>
      </c>
      <c r="C51" s="8">
        <f>IF(B51="F",1,0)</f>
        <v/>
      </c>
      <c r="D51" s="9" t="n">
        <v>9873</v>
      </c>
      <c r="E51" s="8">
        <f>YEAR(F51)-YEAR(D51)</f>
        <v/>
      </c>
      <c r="F51" s="9" t="n">
        <v>37483</v>
      </c>
      <c r="G51" s="9" t="n">
        <v>37493</v>
      </c>
      <c r="H51" s="8">
        <f>G51-F51</f>
        <v/>
      </c>
      <c r="I51" s="7" t="n">
        <v>493</v>
      </c>
      <c r="J51" s="10" t="n">
        <v>14769.92</v>
      </c>
      <c r="K51" s="10" t="n">
        <v>5594.68</v>
      </c>
      <c r="L51" s="7" t="n">
        <v>4</v>
      </c>
      <c r="M51" s="7" t="n">
        <v>5</v>
      </c>
    </row>
    <row r="52" ht="15" customHeight="1">
      <c r="A52" s="7" t="n">
        <v>48</v>
      </c>
      <c r="B52" s="7" t="inlineStr">
        <is>
          <t>F</t>
        </is>
      </c>
      <c r="C52" s="8">
        <f>IF(B52="F",1,0)</f>
        <v/>
      </c>
      <c r="D52" s="9" t="n">
        <v>9468</v>
      </c>
      <c r="E52" s="8">
        <f>YEAR(F52)-YEAR(D52)</f>
        <v/>
      </c>
      <c r="F52" s="9" t="n">
        <v>37361</v>
      </c>
      <c r="G52" s="9" t="n">
        <v>37368</v>
      </c>
      <c r="H52" s="8">
        <f>G52-F52</f>
        <v/>
      </c>
      <c r="I52" s="7" t="n">
        <v>324</v>
      </c>
      <c r="J52" s="10" t="n">
        <v>4425.44</v>
      </c>
      <c r="K52" s="10" t="n">
        <v>1531.55</v>
      </c>
      <c r="L52" s="7" t="n">
        <v>5</v>
      </c>
      <c r="M52" s="7" t="n">
        <v>5</v>
      </c>
    </row>
    <row r="53" ht="15" customHeight="1">
      <c r="A53" s="7" t="n">
        <v>49</v>
      </c>
      <c r="B53" s="7" t="inlineStr">
        <is>
          <t>F</t>
        </is>
      </c>
      <c r="C53" s="8">
        <f>IF(B53="F",1,0)</f>
        <v/>
      </c>
      <c r="D53" s="9" t="n">
        <v>6523</v>
      </c>
      <c r="E53" s="8">
        <f>YEAR(F53)-YEAR(D53)</f>
        <v/>
      </c>
      <c r="F53" s="9" t="n">
        <v>37569</v>
      </c>
      <c r="G53" s="9" t="n">
        <v>37573</v>
      </c>
      <c r="H53" s="8">
        <f>G53-F53</f>
        <v/>
      </c>
      <c r="I53" s="7" t="n">
        <v>140</v>
      </c>
      <c r="J53" s="10" t="n">
        <v>5151.52</v>
      </c>
      <c r="K53" s="10" t="n">
        <v>1710.79</v>
      </c>
      <c r="L53" s="7" t="n">
        <v>5</v>
      </c>
      <c r="M53" s="7" t="n">
        <v>0</v>
      </c>
    </row>
    <row r="54" ht="15" customHeight="1">
      <c r="A54" s="7" t="n">
        <v>50</v>
      </c>
      <c r="B54" s="7" t="inlineStr">
        <is>
          <t>F</t>
        </is>
      </c>
      <c r="C54" s="8">
        <f>IF(B54="F",1,0)</f>
        <v/>
      </c>
      <c r="D54" s="9" t="n">
        <v>11761</v>
      </c>
      <c r="E54" s="8">
        <f>YEAR(F54)-YEAR(D54)</f>
        <v/>
      </c>
      <c r="F54" s="9" t="n">
        <v>37573</v>
      </c>
      <c r="G54" s="9" t="n">
        <v>37574</v>
      </c>
      <c r="H54" s="8">
        <f>G54-F54</f>
        <v/>
      </c>
      <c r="I54" s="7" t="n">
        <v>140</v>
      </c>
      <c r="J54" s="10" t="n">
        <v>2404.39</v>
      </c>
      <c r="K54" s="10" t="n">
        <v>735.58</v>
      </c>
      <c r="L54" s="7" t="n">
        <v>1</v>
      </c>
      <c r="M54" s="7" t="n">
        <v>4</v>
      </c>
    </row>
    <row r="55" ht="15" customHeight="1">
      <c r="A55" s="7" t="n">
        <v>51</v>
      </c>
      <c r="B55" s="7" t="inlineStr">
        <is>
          <t>M</t>
        </is>
      </c>
      <c r="C55" s="8">
        <f>IF(B55="F",1,0)</f>
        <v/>
      </c>
      <c r="D55" s="9" t="n">
        <v>7994</v>
      </c>
      <c r="E55" s="8">
        <f>YEAR(F55)-YEAR(D55)</f>
        <v/>
      </c>
      <c r="F55" s="9" t="n">
        <v>37515</v>
      </c>
      <c r="G55" s="9" t="n">
        <v>37517</v>
      </c>
      <c r="H55" s="8">
        <f>G55-F55</f>
        <v/>
      </c>
      <c r="I55" s="7" t="n">
        <v>140</v>
      </c>
      <c r="J55" s="10" t="n">
        <v>5019.86</v>
      </c>
      <c r="K55" s="10" t="n">
        <v>1730.79</v>
      </c>
      <c r="L55" s="7" t="n">
        <v>2</v>
      </c>
      <c r="M55" s="7" t="n">
        <v>0</v>
      </c>
    </row>
    <row r="56" ht="15" customHeight="1">
      <c r="A56" s="7" t="n">
        <v>52</v>
      </c>
      <c r="B56" s="7" t="inlineStr">
        <is>
          <t>F</t>
        </is>
      </c>
      <c r="C56" s="8">
        <f>IF(B56="F",1,0)</f>
        <v/>
      </c>
      <c r="D56" s="9" t="n">
        <v>7120</v>
      </c>
      <c r="E56" s="8">
        <f>YEAR(F56)-YEAR(D56)</f>
        <v/>
      </c>
      <c r="F56" s="9" t="n">
        <v>37397</v>
      </c>
      <c r="G56" s="9" t="n">
        <v>37406</v>
      </c>
      <c r="H56" s="8">
        <f>G56-F56</f>
        <v/>
      </c>
      <c r="I56" s="7" t="n">
        <v>138</v>
      </c>
      <c r="J56" s="10" t="n">
        <v>10421.01</v>
      </c>
      <c r="K56" s="10" t="n">
        <v>2384.12</v>
      </c>
      <c r="L56" s="7" t="n">
        <v>5</v>
      </c>
      <c r="M56" s="7" t="n">
        <v>0</v>
      </c>
    </row>
    <row r="57" ht="15" customHeight="1">
      <c r="A57" s="7" t="n">
        <v>53</v>
      </c>
      <c r="B57" s="7" t="inlineStr">
        <is>
          <t>M</t>
        </is>
      </c>
      <c r="C57" s="8">
        <f>IF(B57="F",1,0)</f>
        <v/>
      </c>
      <c r="D57" s="9" t="n">
        <v>9569</v>
      </c>
      <c r="E57" s="8">
        <f>YEAR(F57)-YEAR(D57)</f>
        <v/>
      </c>
      <c r="F57" s="9" t="n">
        <v>37505</v>
      </c>
      <c r="G57" s="9" t="n">
        <v>37507</v>
      </c>
      <c r="H57" s="8">
        <f>G57-F57</f>
        <v/>
      </c>
      <c r="I57" s="7" t="n">
        <v>269</v>
      </c>
      <c r="J57" s="10" t="n">
        <v>4860.83</v>
      </c>
      <c r="K57" s="10" t="n">
        <v>5688.67</v>
      </c>
      <c r="L57" s="7" t="n">
        <v>4</v>
      </c>
      <c r="M57" s="7" t="n">
        <v>1</v>
      </c>
    </row>
    <row r="58" ht="15" customHeight="1">
      <c r="A58" s="7" t="n">
        <v>54</v>
      </c>
      <c r="B58" s="7" t="inlineStr">
        <is>
          <t>F</t>
        </is>
      </c>
      <c r="C58" s="8">
        <f>IF(B58="F",1,0)</f>
        <v/>
      </c>
      <c r="D58" s="9" t="n">
        <v>5373</v>
      </c>
      <c r="E58" s="8">
        <f>YEAR(F58)-YEAR(D58)</f>
        <v/>
      </c>
      <c r="F58" s="9" t="n">
        <v>37392</v>
      </c>
      <c r="G58" s="9" t="n">
        <v>37395</v>
      </c>
      <c r="H58" s="8">
        <f>G58-F58</f>
        <v/>
      </c>
      <c r="I58" s="7" t="n">
        <v>140</v>
      </c>
      <c r="J58" s="10" t="n">
        <v>2694.11</v>
      </c>
      <c r="K58" s="10" t="n">
        <v>1564.5</v>
      </c>
      <c r="L58" s="7" t="n">
        <v>2</v>
      </c>
      <c r="M58" s="7" t="n">
        <v>0</v>
      </c>
    </row>
    <row r="59" ht="15" customHeight="1">
      <c r="A59" s="7" t="n">
        <v>55</v>
      </c>
      <c r="B59" s="7" t="inlineStr">
        <is>
          <t>M</t>
        </is>
      </c>
      <c r="C59" s="8">
        <f>IF(B59="F",1,0)</f>
        <v/>
      </c>
      <c r="D59" s="9" t="n">
        <v>5493</v>
      </c>
      <c r="E59" s="8">
        <f>YEAR(F59)-YEAR(D59)</f>
        <v/>
      </c>
      <c r="F59" s="9" t="n">
        <v>37331</v>
      </c>
      <c r="G59" s="9" t="n">
        <v>37335</v>
      </c>
      <c r="H59" s="8">
        <f>G59-F59</f>
        <v/>
      </c>
      <c r="I59" s="7" t="n">
        <v>208</v>
      </c>
      <c r="J59" s="10" t="n">
        <v>2421.63</v>
      </c>
      <c r="K59" s="10" t="n">
        <v>1346.94</v>
      </c>
      <c r="L59" s="7" t="n">
        <v>2</v>
      </c>
      <c r="M59" s="7" t="n">
        <v>0</v>
      </c>
    </row>
    <row r="60" ht="15" customHeight="1">
      <c r="A60" s="7" t="n">
        <v>56</v>
      </c>
      <c r="B60" s="7" t="inlineStr">
        <is>
          <t>F</t>
        </is>
      </c>
      <c r="C60" s="8">
        <f>IF(B60="F",1,0)</f>
        <v/>
      </c>
      <c r="D60" s="9" t="n">
        <v>4984</v>
      </c>
      <c r="E60" s="8">
        <f>YEAR(F60)-YEAR(D60)</f>
        <v/>
      </c>
      <c r="F60" s="9" t="n">
        <v>37372</v>
      </c>
      <c r="G60" s="9" t="n">
        <v>37374</v>
      </c>
      <c r="H60" s="8">
        <f>G60-F60</f>
        <v/>
      </c>
      <c r="I60" s="7" t="n">
        <v>15</v>
      </c>
      <c r="J60" s="10" t="n">
        <v>3311.66</v>
      </c>
      <c r="K60" s="10" t="n">
        <v>2065.49</v>
      </c>
      <c r="L60" s="7" t="n">
        <v>3</v>
      </c>
      <c r="M60" s="7" t="n">
        <v>0</v>
      </c>
    </row>
    <row r="61" ht="15" customHeight="1">
      <c r="A61" s="7" t="n">
        <v>57</v>
      </c>
      <c r="B61" s="7" t="inlineStr">
        <is>
          <t>M</t>
        </is>
      </c>
      <c r="C61" s="8">
        <f>IF(B61="F",1,0)</f>
        <v/>
      </c>
      <c r="D61" s="9" t="n">
        <v>23346</v>
      </c>
      <c r="E61" s="8">
        <f>YEAR(F61)-YEAR(D61)</f>
        <v/>
      </c>
      <c r="F61" s="9" t="n">
        <v>37526</v>
      </c>
      <c r="G61" s="9" t="n">
        <v>37527</v>
      </c>
      <c r="H61" s="8">
        <f>G61-F61</f>
        <v/>
      </c>
      <c r="I61" s="7" t="n">
        <v>434</v>
      </c>
      <c r="J61" s="10" t="n">
        <v>1596.91</v>
      </c>
      <c r="K61" s="10" t="n">
        <v>392</v>
      </c>
      <c r="L61" s="7" t="n">
        <v>5</v>
      </c>
      <c r="M61" s="7" t="n">
        <v>3</v>
      </c>
    </row>
    <row r="62" ht="15" customHeight="1">
      <c r="A62" s="7" t="n">
        <v>58</v>
      </c>
      <c r="B62" s="7" t="inlineStr">
        <is>
          <t>F</t>
        </is>
      </c>
      <c r="C62" s="8">
        <f>IF(B62="F",1,0)</f>
        <v/>
      </c>
      <c r="D62" s="9" t="n">
        <v>5043</v>
      </c>
      <c r="E62" s="8">
        <f>YEAR(F62)-YEAR(D62)</f>
        <v/>
      </c>
      <c r="F62" s="9" t="n">
        <v>37539</v>
      </c>
      <c r="G62" s="9" t="n">
        <v>37544</v>
      </c>
      <c r="H62" s="8">
        <f>G62-F62</f>
        <v/>
      </c>
      <c r="I62" s="7" t="n">
        <v>88</v>
      </c>
      <c r="J62" s="10" t="n">
        <v>5399.67</v>
      </c>
      <c r="K62" s="10" t="n">
        <v>3048.91</v>
      </c>
      <c r="L62" s="7" t="n">
        <v>4</v>
      </c>
      <c r="M62" s="7" t="n">
        <v>4</v>
      </c>
    </row>
    <row r="63" ht="15" customHeight="1">
      <c r="A63" s="7" t="n">
        <v>59</v>
      </c>
      <c r="B63" s="7" t="inlineStr">
        <is>
          <t>M</t>
        </is>
      </c>
      <c r="C63" s="8">
        <f>IF(B63="F",1,0)</f>
        <v/>
      </c>
      <c r="D63" s="9" t="n">
        <v>8395</v>
      </c>
      <c r="E63" s="8">
        <f>YEAR(F63)-YEAR(D63)</f>
        <v/>
      </c>
      <c r="F63" s="9" t="n">
        <v>37485</v>
      </c>
      <c r="G63" s="9" t="n">
        <v>37497</v>
      </c>
      <c r="H63" s="8">
        <f>G63-F63</f>
        <v/>
      </c>
      <c r="I63" s="7" t="n">
        <v>78</v>
      </c>
      <c r="J63" s="10" t="n">
        <v>17605.59</v>
      </c>
      <c r="K63" s="10" t="n">
        <v>4432.93</v>
      </c>
      <c r="L63" s="7" t="n">
        <v>9</v>
      </c>
      <c r="M63" s="7" t="n">
        <v>7</v>
      </c>
    </row>
    <row r="64" ht="15" customHeight="1">
      <c r="A64" s="7" t="n">
        <v>60</v>
      </c>
      <c r="B64" s="7" t="inlineStr">
        <is>
          <t>F</t>
        </is>
      </c>
      <c r="C64" s="8">
        <f>IF(B64="F",1,0)</f>
        <v/>
      </c>
      <c r="D64" s="9" t="n">
        <v>11589</v>
      </c>
      <c r="E64" s="8">
        <f>YEAR(F64)-YEAR(D64)</f>
        <v/>
      </c>
      <c r="F64" s="9" t="n">
        <v>37289</v>
      </c>
      <c r="G64" s="9" t="n">
        <v>37296</v>
      </c>
      <c r="H64" s="8">
        <f>G64-F64</f>
        <v/>
      </c>
      <c r="I64" s="7" t="n">
        <v>89</v>
      </c>
      <c r="J64" s="10" t="n">
        <v>11098.7</v>
      </c>
      <c r="K64" s="10" t="n">
        <v>4256.7</v>
      </c>
      <c r="L64" s="7" t="n">
        <v>3</v>
      </c>
      <c r="M64" s="7" t="n">
        <v>4</v>
      </c>
    </row>
    <row r="65" ht="15" customHeight="1">
      <c r="A65" s="7" t="n">
        <v>61</v>
      </c>
      <c r="B65" s="7" t="inlineStr">
        <is>
          <t>F</t>
        </is>
      </c>
      <c r="C65" s="8">
        <f>IF(B65="F",1,0)</f>
        <v/>
      </c>
      <c r="D65" s="9" t="n">
        <v>4748</v>
      </c>
      <c r="E65" s="8">
        <f>YEAR(F65)-YEAR(D65)</f>
        <v/>
      </c>
      <c r="F65" s="9" t="n">
        <v>37553</v>
      </c>
      <c r="G65" s="9" t="n">
        <v>37557</v>
      </c>
      <c r="H65" s="8">
        <f>G65-F65</f>
        <v/>
      </c>
      <c r="I65" s="7" t="n">
        <v>89</v>
      </c>
      <c r="J65" s="10" t="n">
        <v>3674.03</v>
      </c>
      <c r="K65" s="10" t="n">
        <v>3609.84</v>
      </c>
      <c r="L65" s="7" t="n">
        <v>3</v>
      </c>
      <c r="M65" s="7" t="n">
        <v>0</v>
      </c>
    </row>
    <row r="66" ht="15" customHeight="1">
      <c r="A66" s="7" t="n">
        <v>62</v>
      </c>
      <c r="B66" s="7" t="inlineStr">
        <is>
          <t>M</t>
        </is>
      </c>
      <c r="C66" s="8">
        <f>IF(B66="F",1,0)</f>
        <v/>
      </c>
      <c r="D66" s="9" t="n">
        <v>4279</v>
      </c>
      <c r="E66" s="8">
        <f>YEAR(F66)-YEAR(D66)</f>
        <v/>
      </c>
      <c r="F66" s="9" t="n">
        <v>37327</v>
      </c>
      <c r="G66" s="9" t="n">
        <v>37331</v>
      </c>
      <c r="H66" s="8">
        <f>G66-F66</f>
        <v/>
      </c>
      <c r="I66" s="7" t="n">
        <v>316</v>
      </c>
      <c r="J66" s="10" t="n">
        <v>3720.09</v>
      </c>
      <c r="K66" s="10" t="n">
        <v>4269.96</v>
      </c>
      <c r="L66" s="7" t="n">
        <v>6</v>
      </c>
      <c r="M66" s="7" t="n">
        <v>2</v>
      </c>
    </row>
    <row r="67" ht="15" customHeight="1">
      <c r="A67" s="7" t="n">
        <v>63</v>
      </c>
      <c r="B67" s="7" t="inlineStr">
        <is>
          <t>F</t>
        </is>
      </c>
      <c r="C67" s="8">
        <f>IF(B67="F",1,0)</f>
        <v/>
      </c>
      <c r="D67" s="9" t="n">
        <v>10720</v>
      </c>
      <c r="E67" s="8">
        <f>YEAR(F67)-YEAR(D67)</f>
        <v/>
      </c>
      <c r="F67" s="9" t="n">
        <v>37525</v>
      </c>
      <c r="G67" s="9" t="n">
        <v>37526</v>
      </c>
      <c r="H67" s="8">
        <f>G67-F67</f>
        <v/>
      </c>
      <c r="I67" s="7" t="n">
        <v>140</v>
      </c>
      <c r="J67" s="10" t="n">
        <v>2472.64</v>
      </c>
      <c r="K67" s="10" t="n">
        <v>2356.05</v>
      </c>
      <c r="L67" s="7" t="n">
        <v>4</v>
      </c>
      <c r="M67" s="7" t="n">
        <v>0</v>
      </c>
    </row>
    <row r="68" ht="15" customHeight="1">
      <c r="A68" s="7" t="n">
        <v>64</v>
      </c>
      <c r="B68" s="7" t="inlineStr">
        <is>
          <t>F</t>
        </is>
      </c>
      <c r="C68" s="8">
        <f>IF(B68="F",1,0)</f>
        <v/>
      </c>
      <c r="D68" s="9" t="n">
        <v>9345</v>
      </c>
      <c r="E68" s="8">
        <f>YEAR(F68)-YEAR(D68)</f>
        <v/>
      </c>
      <c r="F68" s="9" t="n">
        <v>37542</v>
      </c>
      <c r="G68" s="9" t="n">
        <v>37549</v>
      </c>
      <c r="H68" s="8">
        <f>G68-F68</f>
        <v/>
      </c>
      <c r="I68" s="7" t="n">
        <v>166</v>
      </c>
      <c r="J68" s="10" t="n">
        <v>7792.24</v>
      </c>
      <c r="K68" s="10" t="n">
        <v>4538.13</v>
      </c>
      <c r="L68" s="7" t="n">
        <v>1</v>
      </c>
      <c r="M68" s="7" t="n">
        <v>5</v>
      </c>
    </row>
    <row r="69" ht="15" customHeight="1">
      <c r="A69" s="7" t="n">
        <v>65</v>
      </c>
      <c r="B69" s="7" t="inlineStr">
        <is>
          <t>F</t>
        </is>
      </c>
      <c r="C69" s="8">
        <f>IF(B69="F",1,0)</f>
        <v/>
      </c>
      <c r="D69" s="9" t="n">
        <v>9125</v>
      </c>
      <c r="E69" s="8">
        <f>YEAR(F69)-YEAR(D69)</f>
        <v/>
      </c>
      <c r="F69" s="9" t="n">
        <v>37496</v>
      </c>
      <c r="G69" s="9" t="n">
        <v>37498</v>
      </c>
      <c r="H69" s="8">
        <f>G69-F69</f>
        <v/>
      </c>
      <c r="I69" s="7" t="n">
        <v>175</v>
      </c>
      <c r="J69" s="10" t="n">
        <v>3489.88</v>
      </c>
      <c r="K69" s="10" t="n">
        <v>1430.32</v>
      </c>
      <c r="L69" s="7" t="n">
        <v>3</v>
      </c>
      <c r="M69" s="7" t="n">
        <v>5</v>
      </c>
    </row>
    <row r="70" ht="15" customHeight="1">
      <c r="A70" s="7" t="n">
        <v>66</v>
      </c>
      <c r="B70" s="7" t="inlineStr">
        <is>
          <t>F</t>
        </is>
      </c>
      <c r="C70" s="8">
        <f>IF(B70="F",1,0)</f>
        <v/>
      </c>
      <c r="D70" s="9" t="n">
        <v>8583</v>
      </c>
      <c r="E70" s="8">
        <f>YEAR(F70)-YEAR(D70)</f>
        <v/>
      </c>
      <c r="F70" s="9" t="n">
        <v>37547</v>
      </c>
      <c r="G70" s="9" t="n">
        <v>37551</v>
      </c>
      <c r="H70" s="8">
        <f>G70-F70</f>
        <v/>
      </c>
      <c r="I70" s="7" t="n">
        <v>203</v>
      </c>
      <c r="J70" s="10" t="n">
        <v>4655.83</v>
      </c>
      <c r="K70" s="10" t="n">
        <v>3965.21</v>
      </c>
      <c r="L70" s="7" t="n">
        <v>9</v>
      </c>
      <c r="M70" s="7" t="n">
        <v>6</v>
      </c>
    </row>
    <row r="71" ht="15" customHeight="1">
      <c r="A71" s="7" t="n">
        <v>67</v>
      </c>
      <c r="B71" s="7" t="inlineStr">
        <is>
          <t>F</t>
        </is>
      </c>
      <c r="C71" s="8">
        <f>IF(B71="F",1,0)</f>
        <v/>
      </c>
      <c r="D71" s="9" t="n">
        <v>6391</v>
      </c>
      <c r="E71" s="8">
        <f>YEAR(F71)-YEAR(D71)</f>
        <v/>
      </c>
      <c r="F71" s="9" t="n">
        <v>37465</v>
      </c>
      <c r="G71" s="9" t="n">
        <v>37479</v>
      </c>
      <c r="H71" s="8">
        <f>G71-F71</f>
        <v/>
      </c>
      <c r="I71" s="7" t="n">
        <v>87</v>
      </c>
      <c r="J71" s="10" t="n">
        <v>10242.5</v>
      </c>
      <c r="K71" s="10" t="n">
        <v>4531.65</v>
      </c>
      <c r="L71" s="7" t="n">
        <v>6</v>
      </c>
      <c r="M71" s="7" t="n">
        <v>0</v>
      </c>
    </row>
    <row r="72" ht="15" customHeight="1">
      <c r="A72" s="7" t="n">
        <v>68</v>
      </c>
      <c r="B72" s="7" t="inlineStr">
        <is>
          <t>F</t>
        </is>
      </c>
      <c r="C72" s="8">
        <f>IF(B72="F",1,0)</f>
        <v/>
      </c>
      <c r="D72" s="9" t="n">
        <v>10332</v>
      </c>
      <c r="E72" s="8">
        <f>YEAR(F72)-YEAR(D72)</f>
        <v/>
      </c>
      <c r="F72" s="9" t="n">
        <v>37297</v>
      </c>
      <c r="G72" s="9" t="n">
        <v>37298</v>
      </c>
      <c r="H72" s="8">
        <f>G72-F72</f>
        <v/>
      </c>
      <c r="I72" s="7" t="n">
        <v>296</v>
      </c>
      <c r="J72" s="10" t="n">
        <v>1599.82</v>
      </c>
      <c r="K72" s="10" t="n">
        <v>2628.95</v>
      </c>
      <c r="L72" s="7" t="n">
        <v>3</v>
      </c>
      <c r="M72" s="7" t="n">
        <v>0</v>
      </c>
    </row>
    <row r="73" ht="15" customHeight="1">
      <c r="A73" s="7" t="n">
        <v>69</v>
      </c>
      <c r="B73" s="7" t="inlineStr">
        <is>
          <t>M</t>
        </is>
      </c>
      <c r="C73" s="8">
        <f>IF(B73="F",1,0)</f>
        <v/>
      </c>
      <c r="D73" s="9" t="n">
        <v>8894</v>
      </c>
      <c r="E73" s="8">
        <f>YEAR(F73)-YEAR(D73)</f>
        <v/>
      </c>
      <c r="F73" s="9" t="n">
        <v>37541</v>
      </c>
      <c r="G73" s="9" t="n">
        <v>37551</v>
      </c>
      <c r="H73" s="8">
        <f>G73-F73</f>
        <v/>
      </c>
      <c r="I73" s="7" t="n">
        <v>294</v>
      </c>
      <c r="J73" s="10" t="n">
        <v>6015.34</v>
      </c>
      <c r="K73" s="10" t="n">
        <v>2003.62</v>
      </c>
      <c r="L73" s="7" t="n">
        <v>5</v>
      </c>
      <c r="M73" s="7" t="n">
        <v>0</v>
      </c>
    </row>
    <row r="74" ht="15" customHeight="1">
      <c r="A74" s="7" t="n">
        <v>70</v>
      </c>
      <c r="B74" s="7" t="inlineStr">
        <is>
          <t>F</t>
        </is>
      </c>
      <c r="C74" s="8">
        <f>IF(B74="F",1,0)</f>
        <v/>
      </c>
      <c r="D74" s="9" t="n">
        <v>3908</v>
      </c>
      <c r="E74" s="8">
        <f>YEAR(F74)-YEAR(D74)</f>
        <v/>
      </c>
      <c r="F74" s="9" t="n">
        <v>37353</v>
      </c>
      <c r="G74" s="9" t="n">
        <v>37355</v>
      </c>
      <c r="H74" s="8">
        <f>G74-F74</f>
        <v/>
      </c>
      <c r="I74" s="7" t="n">
        <v>127</v>
      </c>
      <c r="J74" s="10" t="n">
        <v>1905.65</v>
      </c>
      <c r="K74" s="10" t="n">
        <v>3993.48</v>
      </c>
      <c r="L74" s="7" t="n">
        <v>5</v>
      </c>
      <c r="M74" s="7" t="n">
        <v>0</v>
      </c>
    </row>
    <row r="75" ht="15" customHeight="1">
      <c r="A75" s="7" t="n">
        <v>71</v>
      </c>
      <c r="B75" s="7" t="inlineStr">
        <is>
          <t>M</t>
        </is>
      </c>
      <c r="C75" s="8">
        <f>IF(B75="F",1,0)</f>
        <v/>
      </c>
      <c r="D75" s="9" t="n">
        <v>16880</v>
      </c>
      <c r="E75" s="8">
        <f>YEAR(F75)-YEAR(D75)</f>
        <v/>
      </c>
      <c r="F75" s="9" t="n">
        <v>37566</v>
      </c>
      <c r="G75" s="9" t="n">
        <v>37567</v>
      </c>
      <c r="H75" s="8">
        <f>G75-F75</f>
        <v/>
      </c>
      <c r="I75" s="7" t="n">
        <v>294</v>
      </c>
      <c r="J75" s="10" t="n">
        <v>707.7</v>
      </c>
      <c r="K75" s="10" t="n">
        <v>2102.01</v>
      </c>
      <c r="L75" s="7" t="n">
        <v>3</v>
      </c>
      <c r="M75" s="7" t="n">
        <v>2</v>
      </c>
    </row>
    <row r="76" ht="15" customHeight="1">
      <c r="A76" s="7" t="n">
        <v>72</v>
      </c>
      <c r="B76" s="7" t="inlineStr">
        <is>
          <t>M</t>
        </is>
      </c>
      <c r="C76" s="8">
        <f>IF(B76="F",1,0)</f>
        <v/>
      </c>
      <c r="D76" s="9" t="n">
        <v>9596</v>
      </c>
      <c r="E76" s="8">
        <f>YEAR(F76)-YEAR(D76)</f>
        <v/>
      </c>
      <c r="F76" s="9" t="n">
        <v>37502</v>
      </c>
      <c r="G76" s="9" t="n">
        <v>37504</v>
      </c>
      <c r="H76" s="8">
        <f>G76-F76</f>
        <v/>
      </c>
      <c r="I76" s="7" t="n">
        <v>183</v>
      </c>
      <c r="J76" s="10" t="n">
        <v>3004.67</v>
      </c>
      <c r="K76" s="10" t="n">
        <v>1423.87</v>
      </c>
      <c r="L76" s="7" t="n">
        <v>4</v>
      </c>
      <c r="M76" s="7" t="n">
        <v>5</v>
      </c>
    </row>
    <row r="77" ht="15" customHeight="1">
      <c r="A77" s="7" t="n">
        <v>73</v>
      </c>
      <c r="B77" s="7" t="inlineStr">
        <is>
          <t>F</t>
        </is>
      </c>
      <c r="C77" s="8">
        <f>IF(B77="F",1,0)</f>
        <v/>
      </c>
      <c r="D77" s="9" t="n">
        <v>6616</v>
      </c>
      <c r="E77" s="8">
        <f>YEAR(F77)-YEAR(D77)</f>
        <v/>
      </c>
      <c r="F77" s="9" t="n">
        <v>37519</v>
      </c>
      <c r="G77" s="9" t="n">
        <v>37529</v>
      </c>
      <c r="H77" s="8">
        <f>G77-F77</f>
        <v/>
      </c>
      <c r="I77" s="7" t="n">
        <v>197</v>
      </c>
      <c r="J77" s="10" t="n">
        <v>18290.04</v>
      </c>
      <c r="K77" s="10" t="n">
        <v>6862.34</v>
      </c>
      <c r="L77" s="7" t="n">
        <v>5</v>
      </c>
      <c r="M77" s="7" t="n">
        <v>0</v>
      </c>
    </row>
    <row r="78" ht="15" customHeight="1">
      <c r="A78" s="7" t="n">
        <v>74</v>
      </c>
      <c r="B78" s="7" t="inlineStr">
        <is>
          <t>F</t>
        </is>
      </c>
      <c r="C78" s="8">
        <f>IF(B78="F",1,0)</f>
        <v/>
      </c>
      <c r="D78" s="9" t="n">
        <v>10217</v>
      </c>
      <c r="E78" s="8">
        <f>YEAR(F78)-YEAR(D78)</f>
        <v/>
      </c>
      <c r="F78" s="9" t="n">
        <v>37461</v>
      </c>
      <c r="G78" s="9" t="n">
        <v>37464</v>
      </c>
      <c r="H78" s="8">
        <f>G78-F78</f>
        <v/>
      </c>
      <c r="I78" s="7" t="n">
        <v>132</v>
      </c>
      <c r="J78" s="10" t="n">
        <v>5621.92</v>
      </c>
      <c r="K78" s="10" t="n">
        <v>1772.78</v>
      </c>
      <c r="L78" s="7" t="n">
        <v>5</v>
      </c>
      <c r="M78" s="7" t="n">
        <v>7</v>
      </c>
    </row>
    <row r="79" ht="15" customHeight="1">
      <c r="A79" s="7" t="n">
        <v>75</v>
      </c>
      <c r="B79" s="7" t="inlineStr">
        <is>
          <t>F</t>
        </is>
      </c>
      <c r="C79" s="8">
        <f>IF(B79="F",1,0)</f>
        <v/>
      </c>
      <c r="D79" s="9" t="n">
        <v>12448</v>
      </c>
      <c r="E79" s="8">
        <f>YEAR(F79)-YEAR(D79)</f>
        <v/>
      </c>
      <c r="F79" s="9" t="n">
        <v>37385</v>
      </c>
      <c r="G79" s="9" t="n">
        <v>37392</v>
      </c>
      <c r="H79" s="8">
        <f>G79-F79</f>
        <v/>
      </c>
      <c r="I79" s="7" t="n">
        <v>240</v>
      </c>
      <c r="J79" s="10" t="n">
        <v>5547.71</v>
      </c>
      <c r="K79" s="10" t="n">
        <v>4565.48</v>
      </c>
      <c r="L79" s="7" t="n">
        <v>5</v>
      </c>
      <c r="M79" s="7" t="n">
        <v>7</v>
      </c>
    </row>
    <row r="80" ht="15" customHeight="1">
      <c r="A80" s="7" t="n">
        <v>76</v>
      </c>
      <c r="B80" s="7" t="inlineStr">
        <is>
          <t>M</t>
        </is>
      </c>
      <c r="C80" s="8">
        <f>IF(B80="F",1,0)</f>
        <v/>
      </c>
      <c r="D80" s="9" t="n">
        <v>19250</v>
      </c>
      <c r="E80" s="8">
        <f>YEAR(F80)-YEAR(D80)</f>
        <v/>
      </c>
      <c r="F80" s="9" t="n">
        <v>37613</v>
      </c>
      <c r="G80" s="9" t="n">
        <v>37615</v>
      </c>
      <c r="H80" s="8">
        <f>G80-F80</f>
        <v/>
      </c>
      <c r="I80" s="7" t="n">
        <v>182</v>
      </c>
      <c r="J80" s="10" t="n">
        <v>2581.72</v>
      </c>
      <c r="K80" s="10" t="n">
        <v>2238.61</v>
      </c>
      <c r="L80" s="7" t="n">
        <v>3</v>
      </c>
      <c r="M80" s="7" t="n">
        <v>5</v>
      </c>
    </row>
    <row r="81" ht="15" customHeight="1">
      <c r="A81" s="7" t="n">
        <v>77</v>
      </c>
      <c r="B81" s="7" t="inlineStr">
        <is>
          <t>M</t>
        </is>
      </c>
      <c r="C81" s="8">
        <f>IF(B81="F",1,0)</f>
        <v/>
      </c>
      <c r="D81" s="9" t="n">
        <v>19697</v>
      </c>
      <c r="E81" s="8">
        <f>YEAR(F81)-YEAR(D81)</f>
        <v/>
      </c>
      <c r="F81" s="9" t="n">
        <v>37516</v>
      </c>
      <c r="G81" s="9" t="n">
        <v>37525</v>
      </c>
      <c r="H81" s="8">
        <f>G81-F81</f>
        <v/>
      </c>
      <c r="I81" s="7" t="n">
        <v>436</v>
      </c>
      <c r="J81" s="10" t="n">
        <v>7024.64</v>
      </c>
      <c r="K81" s="10" t="n">
        <v>2441</v>
      </c>
      <c r="L81" s="7" t="n">
        <v>5</v>
      </c>
      <c r="M81" s="7" t="n">
        <v>0</v>
      </c>
    </row>
    <row r="82" ht="15" customHeight="1">
      <c r="A82" s="7" t="n">
        <v>78</v>
      </c>
      <c r="B82" s="7" t="inlineStr">
        <is>
          <t>M</t>
        </is>
      </c>
      <c r="C82" s="8">
        <f>IF(B82="F",1,0)</f>
        <v/>
      </c>
      <c r="D82" s="9" t="n">
        <v>9570</v>
      </c>
      <c r="E82" s="8">
        <f>YEAR(F82)-YEAR(D82)</f>
        <v/>
      </c>
      <c r="F82" s="9" t="n">
        <v>37278</v>
      </c>
      <c r="G82" s="9" t="n">
        <v>37281</v>
      </c>
      <c r="H82" s="8">
        <f>G82-F82</f>
        <v/>
      </c>
      <c r="I82" s="7" t="n">
        <v>175</v>
      </c>
      <c r="J82" s="10" t="n">
        <v>4242.1</v>
      </c>
      <c r="K82" s="10" t="n">
        <v>1344.35</v>
      </c>
      <c r="L82" s="7" t="n">
        <v>4</v>
      </c>
      <c r="M82" s="7" t="n">
        <v>5</v>
      </c>
    </row>
    <row r="83" ht="15" customHeight="1">
      <c r="A83" s="7" t="n">
        <v>79</v>
      </c>
      <c r="B83" s="7" t="inlineStr">
        <is>
          <t>M</t>
        </is>
      </c>
      <c r="C83" s="8">
        <f>IF(B83="F",1,0)</f>
        <v/>
      </c>
      <c r="D83" s="9" t="n">
        <v>9666</v>
      </c>
      <c r="E83" s="8">
        <f>YEAR(F83)-YEAR(D83)</f>
        <v/>
      </c>
      <c r="F83" s="9" t="n">
        <v>37423</v>
      </c>
      <c r="G83" s="9" t="n">
        <v>37426</v>
      </c>
      <c r="H83" s="8">
        <f>G83-F83</f>
        <v/>
      </c>
      <c r="I83" s="7" t="n">
        <v>207</v>
      </c>
      <c r="J83" s="10" t="n">
        <v>4286.9</v>
      </c>
      <c r="K83" s="10" t="n">
        <v>3045.51</v>
      </c>
      <c r="L83" s="7" t="n">
        <v>2</v>
      </c>
      <c r="M83" s="7" t="n">
        <v>5</v>
      </c>
    </row>
    <row r="84" ht="15" customHeight="1">
      <c r="A84" s="7" t="n">
        <v>80</v>
      </c>
      <c r="B84" s="7" t="inlineStr">
        <is>
          <t>F</t>
        </is>
      </c>
      <c r="C84" s="8">
        <f>IF(B84="F",1,0)</f>
        <v/>
      </c>
      <c r="D84" s="9" t="n">
        <v>13125</v>
      </c>
      <c r="E84" s="8">
        <f>YEAR(F84)-YEAR(D84)</f>
        <v/>
      </c>
      <c r="F84" s="9" t="n">
        <v>37365</v>
      </c>
      <c r="G84" s="9" t="n">
        <v>37367</v>
      </c>
      <c r="H84" s="8">
        <f>G84-F84</f>
        <v/>
      </c>
      <c r="I84" s="7" t="n">
        <v>359</v>
      </c>
      <c r="J84" s="10" t="n">
        <v>12313.78</v>
      </c>
      <c r="K84" s="10" t="n">
        <v>2393.04</v>
      </c>
      <c r="L84" s="7" t="n">
        <v>3</v>
      </c>
      <c r="M84" s="7" t="n">
        <v>0</v>
      </c>
    </row>
    <row r="85" ht="15" customHeight="1">
      <c r="A85" s="7" t="n">
        <v>81</v>
      </c>
      <c r="B85" s="7" t="inlineStr">
        <is>
          <t>M</t>
        </is>
      </c>
      <c r="C85" s="8">
        <f>IF(B85="F",1,0)</f>
        <v/>
      </c>
      <c r="D85" s="9" t="n">
        <v>2353</v>
      </c>
      <c r="E85" s="8">
        <f>YEAR(F85)-YEAR(D85)</f>
        <v/>
      </c>
      <c r="F85" s="9" t="n">
        <v>37343</v>
      </c>
      <c r="G85" s="9" t="n">
        <v>37354</v>
      </c>
      <c r="H85" s="8">
        <f>G85-F85</f>
        <v/>
      </c>
      <c r="I85" s="7" t="n">
        <v>79</v>
      </c>
      <c r="J85" s="10" t="n">
        <v>8217.27</v>
      </c>
      <c r="K85" s="10" t="n">
        <v>5462.63</v>
      </c>
      <c r="L85" s="7" t="n">
        <v>4</v>
      </c>
      <c r="M85" s="7" t="n">
        <v>0</v>
      </c>
    </row>
    <row r="86" ht="15" customHeight="1">
      <c r="A86" s="7" t="n">
        <v>82</v>
      </c>
      <c r="B86" s="7" t="inlineStr">
        <is>
          <t>F</t>
        </is>
      </c>
      <c r="C86" s="8">
        <f>IF(B86="F",1,0)</f>
        <v/>
      </c>
      <c r="D86" s="9" t="n">
        <v>7127</v>
      </c>
      <c r="E86" s="8">
        <f>YEAR(F86)-YEAR(D86)</f>
        <v/>
      </c>
      <c r="F86" s="9" t="n">
        <v>37580</v>
      </c>
      <c r="G86" s="9" t="n">
        <v>37596</v>
      </c>
      <c r="H86" s="8">
        <f>G86-F86</f>
        <v/>
      </c>
      <c r="I86" s="7" t="n">
        <v>127</v>
      </c>
      <c r="J86" s="10" t="n">
        <v>10655.8</v>
      </c>
      <c r="K86" s="10" t="n">
        <v>3277.48</v>
      </c>
      <c r="L86" s="7" t="n">
        <v>5</v>
      </c>
      <c r="M86" s="7" t="n">
        <v>0</v>
      </c>
    </row>
    <row r="87" ht="15" customHeight="1">
      <c r="A87" s="7" t="n">
        <v>83</v>
      </c>
      <c r="B87" s="7" t="inlineStr">
        <is>
          <t>F</t>
        </is>
      </c>
      <c r="C87" s="8">
        <f>IF(B87="F",1,0)</f>
        <v/>
      </c>
      <c r="D87" s="9" t="n">
        <v>9480</v>
      </c>
      <c r="E87" s="8">
        <f>YEAR(F87)-YEAR(D87)</f>
        <v/>
      </c>
      <c r="F87" s="9" t="n">
        <v>37478</v>
      </c>
      <c r="G87" s="9" t="n">
        <v>37481</v>
      </c>
      <c r="H87" s="8">
        <f>G87-F87</f>
        <v/>
      </c>
      <c r="I87" s="7" t="n">
        <v>182</v>
      </c>
      <c r="J87" s="10" t="n">
        <v>3620.78</v>
      </c>
      <c r="K87" s="10" t="n">
        <v>2064.43</v>
      </c>
      <c r="L87" s="7" t="n">
        <v>5</v>
      </c>
      <c r="M87" s="7" t="n">
        <v>5</v>
      </c>
    </row>
    <row r="88" ht="15" customHeight="1">
      <c r="A88" s="7" t="n">
        <v>84</v>
      </c>
      <c r="B88" s="7" t="inlineStr">
        <is>
          <t>M</t>
        </is>
      </c>
      <c r="C88" s="8">
        <f>IF(B88="F",1,0)</f>
        <v/>
      </c>
      <c r="D88" s="9" t="n">
        <v>6008</v>
      </c>
      <c r="E88" s="8">
        <f>YEAR(F88)-YEAR(D88)</f>
        <v/>
      </c>
      <c r="F88" s="9" t="n">
        <v>37463</v>
      </c>
      <c r="G88" s="9" t="n">
        <v>37468</v>
      </c>
      <c r="H88" s="8">
        <f>G88-F88</f>
        <v/>
      </c>
      <c r="I88" s="7" t="n">
        <v>346</v>
      </c>
      <c r="J88" s="10" t="n">
        <v>4734.98</v>
      </c>
      <c r="K88" s="10" t="n">
        <v>3731.44</v>
      </c>
      <c r="L88" s="7" t="n">
        <v>2</v>
      </c>
      <c r="M88" s="7" t="n">
        <v>0</v>
      </c>
    </row>
    <row r="89" ht="15" customHeight="1">
      <c r="A89" s="7" t="n">
        <v>85</v>
      </c>
      <c r="B89" s="7" t="inlineStr">
        <is>
          <t>F</t>
        </is>
      </c>
      <c r="C89" s="8">
        <f>IF(B89="F",1,0)</f>
        <v/>
      </c>
      <c r="D89" s="9" t="n">
        <v>8288</v>
      </c>
      <c r="E89" s="8">
        <f>YEAR(F89)-YEAR(D89)</f>
        <v/>
      </c>
      <c r="F89" s="9" t="n">
        <v>37437</v>
      </c>
      <c r="G89" s="9" t="n">
        <v>37438</v>
      </c>
      <c r="H89" s="8">
        <f>G89-F89</f>
        <v/>
      </c>
      <c r="I89" s="7" t="n">
        <v>140</v>
      </c>
      <c r="J89" s="10" t="n">
        <v>1820.41</v>
      </c>
      <c r="K89" s="10" t="n">
        <v>1564.5</v>
      </c>
      <c r="L89" s="7" t="n">
        <v>2</v>
      </c>
      <c r="M89" s="7" t="n">
        <v>0</v>
      </c>
    </row>
    <row r="90" ht="15" customHeight="1">
      <c r="A90" s="7" t="n">
        <v>86</v>
      </c>
      <c r="B90" s="7" t="inlineStr">
        <is>
          <t>F</t>
        </is>
      </c>
      <c r="C90" s="8">
        <f>IF(B90="F",1,0)</f>
        <v/>
      </c>
      <c r="D90" s="9" t="n">
        <v>15202</v>
      </c>
      <c r="E90" s="8">
        <f>YEAR(F90)-YEAR(D90)</f>
        <v/>
      </c>
      <c r="F90" s="9" t="n">
        <v>37426</v>
      </c>
      <c r="G90" s="9" t="n">
        <v>37434</v>
      </c>
      <c r="H90" s="8">
        <f>G90-F90</f>
        <v/>
      </c>
      <c r="I90" s="7" t="n">
        <v>296</v>
      </c>
      <c r="J90" s="10" t="n">
        <v>8954.809999999999</v>
      </c>
      <c r="K90" s="10" t="n">
        <v>3351.61</v>
      </c>
      <c r="L90" s="7" t="n">
        <v>4</v>
      </c>
      <c r="M90" s="7" t="n">
        <v>2</v>
      </c>
    </row>
    <row r="91" ht="15" customHeight="1">
      <c r="A91" s="7" t="n">
        <v>87</v>
      </c>
      <c r="B91" s="7" t="inlineStr">
        <is>
          <t>M</t>
        </is>
      </c>
      <c r="C91" s="8">
        <f>IF(B91="F",1,0)</f>
        <v/>
      </c>
      <c r="D91" s="9" t="n">
        <v>8165</v>
      </c>
      <c r="E91" s="8">
        <f>YEAR(F91)-YEAR(D91)</f>
        <v/>
      </c>
      <c r="F91" s="9" t="n">
        <v>37271</v>
      </c>
      <c r="G91" s="9" t="n">
        <v>37276</v>
      </c>
      <c r="H91" s="8">
        <f>G91-F91</f>
        <v/>
      </c>
      <c r="I91" s="7" t="n">
        <v>236</v>
      </c>
      <c r="J91" s="10" t="n">
        <v>4177.9</v>
      </c>
      <c r="K91" s="10" t="n">
        <v>2314.57</v>
      </c>
      <c r="L91" s="7" t="n">
        <v>6</v>
      </c>
      <c r="M91" s="7" t="n">
        <v>0</v>
      </c>
    </row>
    <row r="92" ht="15" customHeight="1">
      <c r="A92" s="7" t="n">
        <v>88</v>
      </c>
      <c r="B92" s="7" t="inlineStr">
        <is>
          <t>F</t>
        </is>
      </c>
      <c r="C92" s="8">
        <f>IF(B92="F",1,0)</f>
        <v/>
      </c>
      <c r="D92" s="9" t="n">
        <v>8853</v>
      </c>
      <c r="E92" s="8">
        <f>YEAR(F92)-YEAR(D92)</f>
        <v/>
      </c>
      <c r="F92" s="9" t="n">
        <v>37431</v>
      </c>
      <c r="G92" s="9" t="n">
        <v>37433</v>
      </c>
      <c r="H92" s="8">
        <f>G92-F92</f>
        <v/>
      </c>
      <c r="I92" s="7" t="n">
        <v>122</v>
      </c>
      <c r="J92" s="10" t="n">
        <v>5756.89</v>
      </c>
      <c r="K92" s="10" t="n">
        <v>2156.63</v>
      </c>
      <c r="L92" s="7" t="n">
        <v>3</v>
      </c>
      <c r="M92" s="7" t="n">
        <v>4</v>
      </c>
    </row>
    <row r="93" ht="15" customHeight="1">
      <c r="A93" s="7" t="n">
        <v>89</v>
      </c>
      <c r="B93" s="7" t="inlineStr">
        <is>
          <t>F</t>
        </is>
      </c>
      <c r="C93" s="8">
        <f>IF(B93="F",1,0)</f>
        <v/>
      </c>
      <c r="D93" s="9" t="n">
        <v>11442</v>
      </c>
      <c r="E93" s="8">
        <f>YEAR(F93)-YEAR(D93)</f>
        <v/>
      </c>
      <c r="F93" s="9" t="n">
        <v>37406</v>
      </c>
      <c r="G93" s="9" t="n">
        <v>37416</v>
      </c>
      <c r="H93" s="8">
        <f>G93-F93</f>
        <v/>
      </c>
      <c r="I93" s="7" t="n">
        <v>90</v>
      </c>
      <c r="J93" s="10" t="n">
        <v>12919.48</v>
      </c>
      <c r="K93" s="10" t="n">
        <v>2711.94</v>
      </c>
      <c r="L93" s="7" t="n">
        <v>3</v>
      </c>
      <c r="M93" s="7" t="n">
        <v>0</v>
      </c>
    </row>
    <row r="94" ht="15" customHeight="1">
      <c r="A94" s="7" t="n">
        <v>90</v>
      </c>
      <c r="B94" s="7" t="inlineStr">
        <is>
          <t>M</t>
        </is>
      </c>
      <c r="C94" s="8">
        <f>IF(B94="F",1,0)</f>
        <v/>
      </c>
      <c r="D94" s="9" t="n">
        <v>4441</v>
      </c>
      <c r="E94" s="8">
        <f>YEAR(F94)-YEAR(D94)</f>
        <v/>
      </c>
      <c r="F94" s="9" t="n">
        <v>37411</v>
      </c>
      <c r="G94" s="9" t="n">
        <v>37420</v>
      </c>
      <c r="H94" s="8">
        <f>G94-F94</f>
        <v/>
      </c>
      <c r="I94" s="7" t="n">
        <v>89</v>
      </c>
      <c r="J94" s="10" t="n">
        <v>7022.47</v>
      </c>
      <c r="K94" s="10" t="n">
        <v>2589.84</v>
      </c>
      <c r="L94" s="7" t="n">
        <v>2</v>
      </c>
      <c r="M94" s="7" t="n">
        <v>0</v>
      </c>
    </row>
    <row r="95" ht="15" customHeight="1">
      <c r="A95" s="7" t="n">
        <v>91</v>
      </c>
      <c r="B95" s="7" t="inlineStr">
        <is>
          <t>F</t>
        </is>
      </c>
      <c r="C95" s="8">
        <f>IF(B95="F",1,0)</f>
        <v/>
      </c>
      <c r="D95" s="9" t="n">
        <v>4297</v>
      </c>
      <c r="E95" s="8">
        <f>YEAR(F95)-YEAR(D95)</f>
        <v/>
      </c>
      <c r="F95" s="9" t="n">
        <v>37343</v>
      </c>
      <c r="G95" s="9" t="n">
        <v>37350</v>
      </c>
      <c r="H95" s="8">
        <f>G95-F95</f>
        <v/>
      </c>
      <c r="I95" s="7" t="n">
        <v>296</v>
      </c>
      <c r="J95" s="10" t="n">
        <v>6823.6</v>
      </c>
      <c r="K95" s="10" t="n">
        <v>3516.57</v>
      </c>
      <c r="L95" s="7" t="n">
        <v>6</v>
      </c>
      <c r="M95" s="7" t="n">
        <v>4</v>
      </c>
    </row>
    <row r="96" ht="15" customHeight="1">
      <c r="A96" s="7" t="n">
        <v>92</v>
      </c>
      <c r="B96" s="7" t="inlineStr">
        <is>
          <t>F</t>
        </is>
      </c>
      <c r="C96" s="8">
        <f>IF(B96="F",1,0)</f>
        <v/>
      </c>
      <c r="D96" s="9" t="n">
        <v>12093</v>
      </c>
      <c r="E96" s="8">
        <f>YEAR(F96)-YEAR(D96)</f>
        <v/>
      </c>
      <c r="F96" s="9" t="n">
        <v>37487</v>
      </c>
      <c r="G96" s="9" t="n">
        <v>37491</v>
      </c>
      <c r="H96" s="8">
        <f>G96-F96</f>
        <v/>
      </c>
      <c r="I96" s="7" t="n">
        <v>248</v>
      </c>
      <c r="J96" s="10" t="n">
        <v>2384.47</v>
      </c>
      <c r="K96" s="10" t="n">
        <v>2084.09</v>
      </c>
      <c r="L96" s="7" t="n">
        <v>5</v>
      </c>
      <c r="M96" s="7" t="n">
        <v>0</v>
      </c>
    </row>
    <row r="97" ht="15" customHeight="1">
      <c r="A97" s="7" t="n">
        <v>93</v>
      </c>
      <c r="B97" s="7" t="inlineStr">
        <is>
          <t>M</t>
        </is>
      </c>
      <c r="C97" s="8">
        <f>IF(B97="F",1,0)</f>
        <v/>
      </c>
      <c r="D97" s="9" t="n">
        <v>5210</v>
      </c>
      <c r="E97" s="8">
        <f>YEAR(F97)-YEAR(D97)</f>
        <v/>
      </c>
      <c r="F97" s="9" t="n">
        <v>37541</v>
      </c>
      <c r="G97" s="9" t="n">
        <v>37546</v>
      </c>
      <c r="H97" s="8">
        <f>G97-F97</f>
        <v/>
      </c>
      <c r="I97" s="7" t="n">
        <v>278</v>
      </c>
      <c r="J97" s="10" t="n">
        <v>3169.19</v>
      </c>
      <c r="K97" s="10" t="n">
        <v>2131.82</v>
      </c>
      <c r="L97" s="7" t="n">
        <v>4</v>
      </c>
      <c r="M97" s="7" t="n">
        <v>0</v>
      </c>
    </row>
    <row r="98" ht="15" customHeight="1">
      <c r="A98" s="7" t="n">
        <v>94</v>
      </c>
      <c r="B98" s="7" t="inlineStr">
        <is>
          <t>F</t>
        </is>
      </c>
      <c r="C98" s="8">
        <f>IF(B98="F",1,0)</f>
        <v/>
      </c>
      <c r="D98" s="9" t="n">
        <v>9619</v>
      </c>
      <c r="E98" s="8">
        <f>YEAR(F98)-YEAR(D98)</f>
        <v/>
      </c>
      <c r="F98" s="9" t="n">
        <v>37593</v>
      </c>
      <c r="G98" s="9" t="n">
        <v>37595</v>
      </c>
      <c r="H98" s="8">
        <f>G98-F98</f>
        <v/>
      </c>
      <c r="I98" s="7" t="n">
        <v>143</v>
      </c>
      <c r="J98" s="10" t="n">
        <v>2721.63</v>
      </c>
      <c r="K98" s="10" t="n">
        <v>1150.43</v>
      </c>
      <c r="L98" s="7" t="n">
        <v>6</v>
      </c>
      <c r="M98" s="7" t="n">
        <v>7</v>
      </c>
    </row>
    <row r="99" ht="15" customHeight="1">
      <c r="A99" s="7" t="n">
        <v>95</v>
      </c>
      <c r="B99" s="7" t="inlineStr">
        <is>
          <t>F</t>
        </is>
      </c>
      <c r="C99" s="8">
        <f>IF(B99="F",1,0)</f>
        <v/>
      </c>
      <c r="D99" s="9" t="n">
        <v>7013</v>
      </c>
      <c r="E99" s="8">
        <f>YEAR(F99)-YEAR(D99)</f>
        <v/>
      </c>
      <c r="F99" s="9" t="n">
        <v>37353</v>
      </c>
      <c r="G99" s="9" t="n">
        <v>37358</v>
      </c>
      <c r="H99" s="8">
        <f>G99-F99</f>
        <v/>
      </c>
      <c r="I99" s="7" t="n">
        <v>321</v>
      </c>
      <c r="J99" s="10" t="n">
        <v>3034.14</v>
      </c>
      <c r="K99" s="10" t="n">
        <v>1630.16</v>
      </c>
      <c r="L99" s="7" t="n">
        <v>7</v>
      </c>
      <c r="M99" s="7" t="n">
        <v>0</v>
      </c>
    </row>
    <row r="100" ht="15" customHeight="1">
      <c r="A100" s="7" t="n">
        <v>96</v>
      </c>
      <c r="B100" s="7" t="inlineStr">
        <is>
          <t>F</t>
        </is>
      </c>
      <c r="C100" s="8">
        <f>IF(B100="F",1,0)</f>
        <v/>
      </c>
      <c r="D100" s="9" t="n">
        <v>10157</v>
      </c>
      <c r="E100" s="8">
        <f>YEAR(F100)-YEAR(D100)</f>
        <v/>
      </c>
      <c r="F100" s="9" t="n">
        <v>37615</v>
      </c>
      <c r="G100" s="9" t="n">
        <v>37618</v>
      </c>
      <c r="H100" s="8">
        <f>G100-F100</f>
        <v/>
      </c>
      <c r="I100" s="7" t="n">
        <v>127</v>
      </c>
      <c r="J100" s="10" t="n">
        <v>5041.93</v>
      </c>
      <c r="K100" s="10" t="n">
        <v>3645.46</v>
      </c>
      <c r="L100" s="7" t="n">
        <v>1</v>
      </c>
      <c r="M100" s="7" t="n">
        <v>4</v>
      </c>
    </row>
    <row r="101" ht="15" customHeight="1">
      <c r="A101" s="7" t="n">
        <v>97</v>
      </c>
      <c r="B101" s="7" t="inlineStr">
        <is>
          <t>M</t>
        </is>
      </c>
      <c r="C101" s="8">
        <f>IF(B101="F",1,0)</f>
        <v/>
      </c>
      <c r="D101" s="9" t="n">
        <v>7276</v>
      </c>
      <c r="E101" s="8">
        <f>YEAR(F101)-YEAR(D101)</f>
        <v/>
      </c>
      <c r="F101" s="9" t="n">
        <v>37505</v>
      </c>
      <c r="G101" s="9" t="n">
        <v>37512</v>
      </c>
      <c r="H101" s="8">
        <f>G101-F101</f>
        <v/>
      </c>
      <c r="I101" s="7" t="n">
        <v>140</v>
      </c>
      <c r="J101" s="10" t="n">
        <v>8118.92</v>
      </c>
      <c r="K101" s="10" t="n">
        <v>1730.79</v>
      </c>
      <c r="L101" s="7" t="n">
        <v>5</v>
      </c>
      <c r="M101" s="7" t="n">
        <v>0</v>
      </c>
    </row>
    <row r="102" ht="15" customHeight="1">
      <c r="A102" s="7" t="n">
        <v>98</v>
      </c>
      <c r="B102" s="7" t="inlineStr">
        <is>
          <t>M</t>
        </is>
      </c>
      <c r="C102" s="8">
        <f>IF(B102="F",1,0)</f>
        <v/>
      </c>
      <c r="D102" s="9" t="n">
        <v>12500</v>
      </c>
      <c r="E102" s="8">
        <f>YEAR(F102)-YEAR(D102)</f>
        <v/>
      </c>
      <c r="F102" s="9" t="n">
        <v>37623</v>
      </c>
      <c r="G102" s="9" t="n">
        <v>37632</v>
      </c>
      <c r="H102" s="8">
        <f>G102-F102</f>
        <v/>
      </c>
      <c r="I102" s="7" t="n">
        <v>79</v>
      </c>
      <c r="J102" s="10" t="n">
        <v>10955.29</v>
      </c>
      <c r="K102" s="10" t="n">
        <v>5662.61</v>
      </c>
      <c r="L102" s="7" t="n">
        <v>8</v>
      </c>
      <c r="M102" s="7" t="n">
        <v>4</v>
      </c>
    </row>
    <row r="103" ht="15" customHeight="1">
      <c r="A103" s="7" t="n">
        <v>99</v>
      </c>
      <c r="B103" s="7" t="inlineStr">
        <is>
          <t>M</t>
        </is>
      </c>
      <c r="C103" s="8">
        <f>IF(B103="F",1,0)</f>
        <v/>
      </c>
      <c r="D103" s="9" t="n">
        <v>10048</v>
      </c>
      <c r="E103" s="8">
        <f>YEAR(F103)-YEAR(D103)</f>
        <v/>
      </c>
      <c r="F103" s="9" t="n">
        <v>37477</v>
      </c>
      <c r="G103" s="9" t="n">
        <v>37484</v>
      </c>
      <c r="H103" s="8">
        <f>G103-F103</f>
        <v/>
      </c>
      <c r="I103" s="7" t="n">
        <v>101</v>
      </c>
      <c r="J103" s="10" t="n">
        <v>5363.25</v>
      </c>
      <c r="K103" s="10" t="n">
        <v>3409.08</v>
      </c>
      <c r="L103" s="7" t="n">
        <v>5</v>
      </c>
      <c r="M103" s="7" t="n">
        <v>5</v>
      </c>
    </row>
    <row r="104" ht="15" customHeight="1">
      <c r="A104" s="7" t="n">
        <v>100</v>
      </c>
      <c r="B104" s="7" t="inlineStr">
        <is>
          <t>M</t>
        </is>
      </c>
      <c r="C104" s="8">
        <f>IF(B104="F",1,0)</f>
        <v/>
      </c>
      <c r="D104" s="9" t="n">
        <v>15626</v>
      </c>
      <c r="E104" s="8">
        <f>YEAR(F104)-YEAR(D104)</f>
        <v/>
      </c>
      <c r="F104" s="9" t="n">
        <v>37345</v>
      </c>
      <c r="G104" s="9" t="n">
        <v>37350</v>
      </c>
      <c r="H104" s="8">
        <f>G104-F104</f>
        <v/>
      </c>
      <c r="I104" s="7" t="n">
        <v>14</v>
      </c>
      <c r="J104" s="10" t="n">
        <v>6572.6</v>
      </c>
      <c r="K104" s="10" t="n">
        <v>3892.79</v>
      </c>
      <c r="L104" s="7" t="n">
        <v>6</v>
      </c>
      <c r="M104" s="7" t="n">
        <v>4</v>
      </c>
    </row>
    <row r="107" ht="15" customHeight="1">
      <c r="A107" s="5" t="inlineStr">
        <is>
          <t>Amber-shaded columns (Sex1, Age, LOS) are the three new inserted/calculated columns.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Prerna Sinha</dc:creator>
  <dc:language xmlns:dc="http://purl.org/dc/elements/1.1/">en-US</dc:language>
  <dcterms:created xmlns:dcterms="http://purl.org/dc/terms/" xmlns:xsi="http://www.w3.org/2001/XMLSchema-instance" xsi:type="dcterms:W3CDTF">2026-09-08T15:42:46Z</dcterms:created>
  <dcterms:modified xmlns:dcterms="http://purl.org/dc/terms/" xmlns:xsi="http://www.w3.org/2001/XMLSchema-instance" xsi:type="dcterms:W3CDTF">2026-10-16T00:50:31Z</dcterms:modified>
  <cp:lastModifiedBy>Prerna Sinha</cp:lastModifiedBy>
  <cp:revision>0</cp:revision>
</cp:coreProperties>
</file>