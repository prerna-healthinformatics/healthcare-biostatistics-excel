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37ff9bbc394f2cca/Desktop/UNIVERSITY OF SAN DIEGO DOCS/HCIN615/"/>
    </mc:Choice>
  </mc:AlternateContent>
  <xr:revisionPtr revIDLastSave="0" documentId="8_{F1FEB656-A2FD-48A5-98B5-AE07D5F637A1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Hypothesis Test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1" i="1" l="1"/>
  <c r="I11" i="1" s="1"/>
  <c r="K11" i="1" s="1"/>
  <c r="M11" i="1" s="1"/>
  <c r="G11" i="1"/>
  <c r="L11" i="1" s="1"/>
  <c r="H10" i="1"/>
  <c r="I10" i="1" s="1"/>
  <c r="K10" i="1" s="1"/>
  <c r="M10" i="1" s="1"/>
  <c r="G10" i="1"/>
  <c r="L10" i="1" s="1"/>
  <c r="H9" i="1"/>
  <c r="I9" i="1" s="1"/>
  <c r="K9" i="1" s="1"/>
  <c r="M9" i="1" s="1"/>
  <c r="G9" i="1"/>
  <c r="L9" i="1" s="1"/>
  <c r="H8" i="1"/>
  <c r="I8" i="1" s="1"/>
  <c r="K8" i="1" s="1"/>
  <c r="M8" i="1" s="1"/>
  <c r="G8" i="1"/>
  <c r="L8" i="1" s="1"/>
  <c r="H7" i="1"/>
  <c r="I7" i="1" s="1"/>
  <c r="K7" i="1" s="1"/>
  <c r="M7" i="1" s="1"/>
  <c r="G7" i="1"/>
  <c r="L7" i="1" s="1"/>
  <c r="H6" i="1"/>
  <c r="I6" i="1" s="1"/>
  <c r="K6" i="1" s="1"/>
  <c r="M6" i="1" s="1"/>
  <c r="G6" i="1"/>
  <c r="L6" i="1" s="1"/>
</calcChain>
</file>

<file path=xl/sharedStrings.xml><?xml version="1.0" encoding="utf-8"?>
<sst xmlns="http://schemas.openxmlformats.org/spreadsheetml/2006/main" count="35" uniqueCount="29">
  <si>
    <t xml:space="preserve">t-Test Calculations, p-values, and Decisions</t>
  </si>
  <si>
    <t>t = (xbar - mu0) / (s / SQRT(n));   df = n - 1;   p-value via =TDIST(ABS(t), df, tails)</t>
  </si>
  <si>
    <t>Decision rule: Reject H0 if p-value &lt; 0.05 (alpha = 0.05)</t>
  </si>
  <si>
    <t>Case</t>
  </si>
  <si>
    <t>H0: mu =</t>
  </si>
  <si>
    <t>H1</t>
  </si>
  <si>
    <t>xbar</t>
  </si>
  <si>
    <t>s (std dev)</t>
  </si>
  <si>
    <t>n</t>
  </si>
  <si>
    <t>df = n-1</t>
  </si>
  <si>
    <t>SE = s/SQRT(n)</t>
  </si>
  <si>
    <t>t-value</t>
  </si>
  <si>
    <t>Tail(s)</t>
  </si>
  <si>
    <t>p-value (=TDIST)</t>
  </si>
  <si>
    <t>Critical t (a=.05)</t>
  </si>
  <si>
    <t>Decision (a=.05)</t>
  </si>
  <si>
    <t>a</t>
  </si>
  <si>
    <t>mu &lt;&gt; 11</t>
  </si>
  <si>
    <t>2-tail</t>
  </si>
  <si>
    <t>b</t>
  </si>
  <si>
    <t>c</t>
  </si>
  <si>
    <t xml:space="preserve">mu &gt; 11 (1-tailed test)</t>
  </si>
  <si>
    <t>1-tail</t>
  </si>
  <si>
    <t>d</t>
  </si>
  <si>
    <t>mu &lt;&gt; 234</t>
  </si>
  <si>
    <t>e</t>
  </si>
  <si>
    <t>f</t>
  </si>
  <si>
    <t xml:space="preserve">mu &lt; 234 (1-tailed test)</t>
  </si>
  <si>
    <t xml:space="preserve">Note on tails: cases a, b, d, and e are 2-tailed tests (rejection region split between both tails). Cases c and f are 1-tailed tests in the direction the sample mean deviated (c tests mu &gt; 11 since xbar = 13.7; f tests mu &lt; 234 since xbar = 226.4). Cases e and f use identical sample data, showing how a 1-tailed vs. 2-tailed test changes the p-value and conclusion for the same result.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</si>
</sst>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charset val="1"/>
    </font>
    <font>
      <b/>
      <sz val="14"/>
      <name val="Cambria"/>
      <charset val="1"/>
    </font>
    <font>
      <i/>
      <sz val="10"/>
      <name val="Cambria"/>
      <charset val="1"/>
    </font>
    <font>
      <b/>
      <sz val="11"/>
      <name val="Cambria"/>
      <charset val="1"/>
    </font>
    <font>
      <i/>
      <sz val="9"/>
      <name val="Cambria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2" fontId="0" fillId="0" borderId="1" xfId="0" applyNumberFormat="1" applyBorder="1" applyAlignment="1">
      <alignment horizontal="center" wrapText="1"/>
    </xf>
    <xf numFmtId="164" fontId="0" fillId="0" borderId="1" xfId="0" applyNumberFormat="1" applyBorder="1" applyAlignment="1">
      <alignment horizontal="center" wrapText="1"/>
    </xf>
    <xf numFmtId="0" fontId="3" fillId="3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zoomScaleNormal="100" workbookViewId="0">
      <pane ySplit="5" topLeftCell="A6" activePane="bottomLeft" state="frozen"/>
      <selection pane="bottomLeft"/>
    </sheetView>
  </sheetViews>
  <sheetFormatPr defaultColWidth="8.6328125" defaultRowHeight="14.5" x14ac:dyDescent="0.35"/>
  <cols>
    <col min="1" max="1" width="6" customWidth="1"/>
    <col min="2" max="2" width="10" customWidth="1"/>
    <col min="3" max="3" width="16" customWidth="1"/>
    <col min="4" max="4" width="8" customWidth="1"/>
    <col min="5" max="5" width="11" customWidth="1"/>
    <col min="6" max="6" width="6" customWidth="1"/>
    <col min="7" max="7" width="9" customWidth="1"/>
    <col min="8" max="8" width="13" customWidth="1"/>
    <col min="9" max="9" width="10" customWidth="1"/>
    <col min="10" max="10" width="9" customWidth="1"/>
    <col min="11" max="12" width="13" customWidth="1"/>
    <col min="13" max="13" width="16" customWidth="1"/>
  </cols>
  <sheetData>
    <row r="1" spans="1:13" ht="17.5" x14ac:dyDescent="0.35">
      <c r="A1" s="2" t="s">
        <v>0</v>
      </c>
    </row>
    <row r="2" spans="1:13" x14ac:dyDescent="0.35">
      <c r="A2" s="3" t="s">
        <v>1</v>
      </c>
    </row>
    <row r="3" spans="1:13" x14ac:dyDescent="0.35">
      <c r="A3" s="3" t="s">
        <v>2</v>
      </c>
    </row>
    <row r="5" spans="1:13" ht="28.5" x14ac:dyDescent="0.3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</row>
    <row r="6" spans="1:13" ht="28.5" x14ac:dyDescent="0.35">
      <c r="A6" s="5" t="s">
        <v>16</v>
      </c>
      <c r="B6" s="5">
        <v>11</v>
      </c>
      <c r="C6" s="5" t="s">
        <v>17</v>
      </c>
      <c r="D6" s="6">
        <v>12.2</v>
      </c>
      <c r="E6" s="6">
        <v>8.9</v>
      </c>
      <c r="F6" s="5">
        <v>40</v>
      </c>
      <c r="G6" s="5">
        <f t="shared" ref="G6:G11" si="0">F6-1</f>
        <v>39</v>
      </c>
      <c r="H6" s="7">
        <f t="shared" ref="H6:H11" si="1">E6/SQRT(F6)</f>
        <v>1.4072135587749288</v>
      </c>
      <c r="I6" s="7">
        <f t="shared" ref="I6:I11" si="2">(D6-B6)/H6</f>
        <v>0.85274903195551754</v>
      </c>
      <c r="J6" s="5" t="s">
        <v>18</v>
      </c>
      <c r="K6" s="7">
        <f>TDIST(ABS(I6),G6,2)</f>
        <v>0.39900534654824305</v>
      </c>
      <c r="L6" s="7">
        <f>TINV(0.05,G6)</f>
        <v>2.0226909200367595</v>
      </c>
      <c r="M6" s="8" t="str">
        <f t="shared" ref="M6:M11" si="3">IF(K6&lt;0.05,"Reject H0","Fail to Reject H0")</f>
        <v>Fail to Reject H0</v>
      </c>
    </row>
    <row r="7" spans="1:13" x14ac:dyDescent="0.35">
      <c r="A7" s="5" t="s">
        <v>19</v>
      </c>
      <c r="B7" s="5">
        <v>11</v>
      </c>
      <c r="C7" s="5" t="s">
        <v>17</v>
      </c>
      <c r="D7" s="6">
        <v>14</v>
      </c>
      <c r="E7" s="6">
        <v>8.9</v>
      </c>
      <c r="F7" s="5">
        <v>40</v>
      </c>
      <c r="G7" s="5">
        <f t="shared" si="0"/>
        <v>39</v>
      </c>
      <c r="H7" s="7">
        <f t="shared" si="1"/>
        <v>1.4072135587749288</v>
      </c>
      <c r="I7" s="7">
        <f t="shared" si="2"/>
        <v>2.1318725798887952</v>
      </c>
      <c r="J7" s="5" t="s">
        <v>18</v>
      </c>
      <c r="K7" s="7">
        <f>TDIST(ABS(I7),G7,2)</f>
        <v>3.9372144033714453E-2</v>
      </c>
      <c r="L7" s="7">
        <f>TINV(0.05,G7)</f>
        <v>2.0226909200367595</v>
      </c>
      <c r="M7" s="8" t="str">
        <f t="shared" si="3"/>
        <v>Reject H0</v>
      </c>
    </row>
    <row r="8" spans="1:13" ht="43.5" x14ac:dyDescent="0.35">
      <c r="A8" s="5" t="s">
        <v>20</v>
      </c>
      <c r="B8" s="5">
        <v>11</v>
      </c>
      <c r="C8" s="5" t="s">
        <v>21</v>
      </c>
      <c r="D8" s="6">
        <v>13.7</v>
      </c>
      <c r="E8" s="6">
        <v>8.9</v>
      </c>
      <c r="F8" s="5">
        <v>40</v>
      </c>
      <c r="G8" s="5">
        <f t="shared" si="0"/>
        <v>39</v>
      </c>
      <c r="H8" s="7">
        <f t="shared" si="1"/>
        <v>1.4072135587749288</v>
      </c>
      <c r="I8" s="7">
        <f t="shared" si="2"/>
        <v>1.9186853218999149</v>
      </c>
      <c r="J8" s="5" t="s">
        <v>22</v>
      </c>
      <c r="K8" s="7">
        <f>TDIST(ABS(I8),G8,1)</f>
        <v>3.1182436605571372E-2</v>
      </c>
      <c r="L8" s="7">
        <f>TINV(0.1,G8)</f>
        <v>1.6848751217112248</v>
      </c>
      <c r="M8" s="8" t="str">
        <f t="shared" si="3"/>
        <v>Reject H0</v>
      </c>
    </row>
    <row r="9" spans="1:13" ht="28.5" x14ac:dyDescent="0.35">
      <c r="A9" s="5" t="s">
        <v>23</v>
      </c>
      <c r="B9" s="5">
        <v>234</v>
      </c>
      <c r="C9" s="5" t="s">
        <v>24</v>
      </c>
      <c r="D9" s="6">
        <v>228.4</v>
      </c>
      <c r="E9" s="6">
        <v>40.53</v>
      </c>
      <c r="F9" s="5">
        <v>120</v>
      </c>
      <c r="G9" s="5">
        <f t="shared" si="0"/>
        <v>119</v>
      </c>
      <c r="H9" s="7">
        <f t="shared" si="1"/>
        <v>3.6998658759473972</v>
      </c>
      <c r="I9" s="7">
        <f t="shared" si="2"/>
        <v>-1.5135683799797321</v>
      </c>
      <c r="J9" s="5" t="s">
        <v>18</v>
      </c>
      <c r="K9" s="7">
        <f>TDIST(ABS(I9),G9,2)</f>
        <v>0.13278679228517506</v>
      </c>
      <c r="L9" s="7">
        <f>TINV(0.05,G9)</f>
        <v>1.9800998764569426</v>
      </c>
      <c r="M9" s="8" t="str">
        <f t="shared" si="3"/>
        <v>Fail to Reject H0</v>
      </c>
    </row>
    <row r="10" spans="1:13" x14ac:dyDescent="0.35">
      <c r="A10" s="5" t="s">
        <v>25</v>
      </c>
      <c r="B10" s="5">
        <v>234</v>
      </c>
      <c r="C10" s="5" t="s">
        <v>24</v>
      </c>
      <c r="D10" s="6">
        <v>226.4</v>
      </c>
      <c r="E10" s="6">
        <v>40.53</v>
      </c>
      <c r="F10" s="5">
        <v>120</v>
      </c>
      <c r="G10" s="5">
        <f t="shared" si="0"/>
        <v>119</v>
      </c>
      <c r="H10" s="7">
        <f t="shared" si="1"/>
        <v>3.6998658759473972</v>
      </c>
      <c r="I10" s="7">
        <f t="shared" si="2"/>
        <v>-2.0541285156867799</v>
      </c>
      <c r="J10" s="5" t="s">
        <v>18</v>
      </c>
      <c r="K10" s="7">
        <f>TDIST(ABS(I10),G10,2)</f>
        <v>4.215358952384838E-2</v>
      </c>
      <c r="L10" s="7">
        <f>TINV(0.05,G10)</f>
        <v>1.9800998764569426</v>
      </c>
      <c r="M10" s="8" t="str">
        <f t="shared" si="3"/>
        <v>Reject H0</v>
      </c>
    </row>
    <row r="11" spans="1:13" ht="43.5" x14ac:dyDescent="0.35">
      <c r="A11" s="5" t="s">
        <v>26</v>
      </c>
      <c r="B11" s="5">
        <v>234</v>
      </c>
      <c r="C11" s="5" t="s">
        <v>27</v>
      </c>
      <c r="D11" s="6">
        <v>226.4</v>
      </c>
      <c r="E11" s="6">
        <v>40.53</v>
      </c>
      <c r="F11" s="5">
        <v>120</v>
      </c>
      <c r="G11" s="5">
        <f t="shared" si="0"/>
        <v>119</v>
      </c>
      <c r="H11" s="7">
        <f t="shared" si="1"/>
        <v>3.6998658759473972</v>
      </c>
      <c r="I11" s="7">
        <f t="shared" si="2"/>
        <v>-2.0541285156867799</v>
      </c>
      <c r="J11" s="5" t="s">
        <v>22</v>
      </c>
      <c r="K11" s="7">
        <f>TDIST(ABS(I11),G11,1)</f>
        <v>2.107679476192419E-2</v>
      </c>
      <c r="L11" s="7">
        <f>TINV(0.1,G11)</f>
        <v>1.6577592849428349</v>
      </c>
      <c r="M11" s="8" t="str">
        <f t="shared" si="3"/>
        <v>Reject H0</v>
      </c>
    </row>
    <row r="13" spans="1:13" ht="75" customHeight="1" x14ac:dyDescent="0.35">
      <c r="A13" s="1" t="s">
        <v>28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</sheetData>
  <mergeCells count="1">
    <mergeCell ref="A13:M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Hypothesis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Prerna Sinha</dc:creator>
  <dc:description/>
  <cp:lastModifiedBy>Prerna Sinha</cp:lastModifiedBy>
  <cp:revision>0</cp:revision>
  <dcterms:created xsi:type="dcterms:W3CDTF">2026-09-12T22:26:55Z</dcterms:created>
  <dcterms:modified xsi:type="dcterms:W3CDTF">2026-09-12T22:28:40Z</dcterms:modified>
  <dc:language>en-US</dc:language>
</cp:coreProperties>
</file>