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7ff9bbc394f2cca/Desktop/UNIVERSITY OF SAN DIEGO DOCS/HCIN615/"/>
    </mc:Choice>
  </mc:AlternateContent>
  <xr:revisionPtr revIDLastSave="0" documentId="8_{984CA248-9F6B-45DF-9A74-BA91822CC7FA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Costs" sheetId="1" r:id="rId1"/>
    <sheet name="ANOVA Analy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2" l="1"/>
  <c r="B31" i="2" s="1"/>
  <c r="B28" i="2"/>
  <c r="B30" i="2" s="1"/>
  <c r="D25" i="2"/>
  <c r="D10" i="2"/>
  <c r="C10" i="2"/>
  <c r="B10" i="2"/>
  <c r="D9" i="2"/>
  <c r="E9" i="2" s="1"/>
  <c r="C9" i="2"/>
  <c r="B9" i="2"/>
  <c r="D8" i="2"/>
  <c r="E8" i="2" s="1"/>
  <c r="C8" i="2"/>
  <c r="B8" i="2"/>
  <c r="D7" i="2"/>
  <c r="E7" i="2" s="1"/>
  <c r="C7" i="2"/>
  <c r="B7" i="2"/>
  <c r="D6" i="2"/>
  <c r="E6" i="2" s="1"/>
  <c r="C6" i="2"/>
  <c r="B6" i="2"/>
  <c r="B21" i="2" l="1"/>
  <c r="B33" i="2" s="1"/>
  <c r="B17" i="2"/>
  <c r="B32" i="2" l="1"/>
  <c r="B34" i="2" s="1"/>
  <c r="B37" i="2" s="1"/>
  <c r="A40" i="2" s="1"/>
  <c r="B25" i="2"/>
</calcChain>
</file>

<file path=xl/sharedStrings.xml><?xml version="1.0" encoding="utf-8"?>
<sst xmlns="http://schemas.openxmlformats.org/spreadsheetml/2006/main" count="158" uniqueCount="38">
  <si>
    <t>ID</t>
  </si>
  <si>
    <t>Hosp</t>
  </si>
  <si>
    <t>Cost</t>
  </si>
  <si>
    <t>Albemarle</t>
  </si>
  <si>
    <t>Beaufort</t>
  </si>
  <si>
    <t>Catawba</t>
  </si>
  <si>
    <t>Dare</t>
  </si>
  <si>
    <t>One-Way ANOVA: Hospital Costs (replicates Figure 10.3)</t>
  </si>
  <si>
    <t>Source data: 'Costs' worksheet (Hosp, Cost), N = 120 patients across 4 hospitals</t>
  </si>
  <si>
    <t>Step 1 &amp; 2:  Pivot Table Summary  (Count, Sum, Average, Variance by Hospital)</t>
  </si>
  <si>
    <t>Hospital</t>
  </si>
  <si>
    <t>Count (n)</t>
  </si>
  <si>
    <t>Sum</t>
  </si>
  <si>
    <t>Average (Mean)</t>
  </si>
  <si>
    <t>Variance</t>
  </si>
  <si>
    <t>Grand Total</t>
  </si>
  <si>
    <t>Note: this summary matches an Excel PivotTable with Hosp in Rows and Cost summarized as Count and Average. To insert the native PivotTable object: select Costs!A1:C121 → Insert → PivotTable → drag Hosp to Rows, and Cost to Values twice (set one to Count, one to Average).</t>
  </si>
  <si>
    <t>Step 3:  Equation 10.1 – Between-Groups Sum of Squares (SSB)</t>
  </si>
  <si>
    <t>SSB = Σ nᵢ (X̄ᵢ − X̄grand)²</t>
  </si>
  <si>
    <t>SSB =</t>
  </si>
  <si>
    <t>Step 4:  Equation 10.2 – Within-Groups Sum of Squares (SSW)</t>
  </si>
  <si>
    <t>SSW = Σ (nᵢ − 1) sᵢ²</t>
  </si>
  <si>
    <t>SSW =</t>
  </si>
  <si>
    <t>Step 5:  Equation 10.3 – Total Sum of Squares (SST)</t>
  </si>
  <si>
    <t>SST = SSB + SSW</t>
  </si>
  <si>
    <t>SST =</t>
  </si>
  <si>
    <t>Check (DEVSQ of all 120 costs):</t>
  </si>
  <si>
    <t>Step 6:  Degrees of Freedom and Equation 10.4 – F Statistic</t>
  </si>
  <si>
    <t>k (# groups) =</t>
  </si>
  <si>
    <t>N (total obs) =</t>
  </si>
  <si>
    <t>df between (k − 1) =</t>
  </si>
  <si>
    <t>df within (N − k) =</t>
  </si>
  <si>
    <t>MSB = SSB / dfB =</t>
  </si>
  <si>
    <t>MSW = SSW / dfW =</t>
  </si>
  <si>
    <t>F = MSB / MSW =</t>
  </si>
  <si>
    <t>Step 7:  Probability of F (=FDIST) and Conclusion</t>
  </si>
  <si>
    <t>P(F) via =FDIST(F,dfB,dfW) =</t>
  </si>
  <si>
    <t>α (significance level)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</si>
</sst>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0.0000"/>
  </numFmts>
  <fonts count="8" x14ac:knownFonts="1">
    <font>
      <sz val="10"/>
      <name val="Arial"/>
    </font>
    <font>
      <b/>
      <sz val="10"/>
      <name val="Arial"/>
      <family val="2"/>
    </font>
    <font>
      <b/>
      <sz val="14"/>
      <name val="Arial"/>
    </font>
    <font>
      <i/>
      <sz val="9"/>
      <color rgb="FF808080"/>
      <name val="Arial"/>
    </font>
    <font>
      <b/>
      <sz val="11"/>
      <color rgb="FFFFFFFF"/>
      <name val="Arial"/>
    </font>
    <font>
      <b/>
      <sz val="10"/>
      <name val="Arial"/>
    </font>
    <font>
      <i/>
      <sz val="10"/>
      <color rgb="FF595959"/>
      <name val="Arial"/>
    </font>
    <font>
      <b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7" fontId="0" fillId="0" borderId="0" xfId="0" applyNumberFormat="1"/>
    <xf numFmtId="0" fontId="1" fillId="0" borderId="0" xfId="0" applyFont="1"/>
    <xf numFmtId="0" fontId="3" fillId="0" borderId="0" xfId="0" applyFont="1"/>
    <xf numFmtId="0" fontId="5" fillId="3" borderId="1" xfId="0" applyFont="1" applyFill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5" fillId="3" borderId="1" xfId="0" applyFont="1" applyFill="1" applyBorder="1"/>
    <xf numFmtId="4" fontId="5" fillId="3" borderId="1" xfId="0" applyNumberFormat="1" applyFont="1" applyFill="1" applyBorder="1"/>
    <xf numFmtId="0" fontId="0" fillId="3" borderId="1" xfId="0" applyFill="1" applyBorder="1"/>
    <xf numFmtId="0" fontId="5" fillId="0" borderId="0" xfId="0" applyFont="1"/>
    <xf numFmtId="4" fontId="5" fillId="4" borderId="0" xfId="0" applyNumberFormat="1" applyFont="1" applyFill="1"/>
    <xf numFmtId="4" fontId="0" fillId="0" borderId="0" xfId="0" applyNumberFormat="1"/>
    <xf numFmtId="164" fontId="5" fillId="4" borderId="0" xfId="0" applyNumberFormat="1" applyFont="1" applyFill="1"/>
    <xf numFmtId="2" fontId="0" fillId="0" borderId="0" xfId="0" applyNumberFormat="1"/>
    <xf numFmtId="0" fontId="4" fillId="2" borderId="0" xfId="0" applyFont="1" applyFill="1" applyAlignment="1">
      <alignment vertical="center"/>
    </xf>
    <xf numFmtId="0" fontId="0" fillId="0" borderId="0" xfId="0"/>
    <xf numFmtId="0" fontId="6" fillId="0" borderId="0" xfId="0" applyFont="1"/>
    <xf numFmtId="0" fontId="3" fillId="0" borderId="0" xfId="0" applyFont="1" applyAlignment="1">
      <alignment vertical="top" wrapText="1"/>
    </xf>
    <xf numFmtId="0" fontId="3" fillId="0" borderId="0" xfId="0" applyFont="1"/>
    <xf numFmtId="0" fontId="7" fillId="5" borderId="0" xfId="0" applyFont="1" applyFill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1"/>
  <sheetViews>
    <sheetView workbookViewId="0">
      <selection activeCell="E11" sqref="E11"/>
    </sheetView>
  </sheetViews>
  <sheetFormatPr defaultRowHeight="12.5" x14ac:dyDescent="0.25"/>
  <cols>
    <col min="3" max="3" width="11.90625" bestFit="1" customWidth="1"/>
  </cols>
  <sheetData>
    <row r="1" spans="1:3" s="2" customFormat="1" ht="13" customHeight="1" x14ac:dyDescent="0.3">
      <c r="A1" s="2" t="s">
        <v>0</v>
      </c>
      <c r="B1" s="2" t="s">
        <v>1</v>
      </c>
      <c r="C1" s="2" t="s">
        <v>2</v>
      </c>
    </row>
    <row r="2" spans="1:3" ht="13.25" customHeight="1" x14ac:dyDescent="0.25">
      <c r="A2">
        <v>1</v>
      </c>
      <c r="B2" t="s">
        <v>3</v>
      </c>
      <c r="C2" s="1">
        <v>5342.61</v>
      </c>
    </row>
    <row r="3" spans="1:3" ht="13.25" customHeight="1" x14ac:dyDescent="0.25">
      <c r="A3">
        <v>2</v>
      </c>
      <c r="B3" t="s">
        <v>3</v>
      </c>
      <c r="C3" s="1">
        <v>7237.59</v>
      </c>
    </row>
    <row r="4" spans="1:3" ht="13.25" customHeight="1" x14ac:dyDescent="0.25">
      <c r="A4">
        <v>3</v>
      </c>
      <c r="B4" t="s">
        <v>3</v>
      </c>
      <c r="C4" s="1">
        <v>11801.95</v>
      </c>
    </row>
    <row r="5" spans="1:3" ht="13.25" customHeight="1" x14ac:dyDescent="0.25">
      <c r="A5">
        <v>4</v>
      </c>
      <c r="B5" t="s">
        <v>3</v>
      </c>
      <c r="C5" s="1">
        <v>1082.3599999999999</v>
      </c>
    </row>
    <row r="6" spans="1:3" ht="13.25" customHeight="1" x14ac:dyDescent="0.25">
      <c r="A6">
        <v>5</v>
      </c>
      <c r="B6" t="s">
        <v>3</v>
      </c>
      <c r="C6" s="1">
        <v>2379.59</v>
      </c>
    </row>
    <row r="7" spans="1:3" ht="13.25" customHeight="1" x14ac:dyDescent="0.25">
      <c r="A7">
        <v>6</v>
      </c>
      <c r="B7" t="s">
        <v>3</v>
      </c>
      <c r="C7" s="1">
        <v>8469.39</v>
      </c>
    </row>
    <row r="8" spans="1:3" ht="13.25" customHeight="1" x14ac:dyDescent="0.25">
      <c r="A8">
        <v>7</v>
      </c>
      <c r="B8" t="s">
        <v>3</v>
      </c>
      <c r="C8" s="1">
        <v>4453.55</v>
      </c>
    </row>
    <row r="9" spans="1:3" ht="13.25" customHeight="1" x14ac:dyDescent="0.25">
      <c r="A9">
        <v>8</v>
      </c>
      <c r="B9" t="s">
        <v>3</v>
      </c>
      <c r="C9" s="1">
        <v>4745.26</v>
      </c>
    </row>
    <row r="10" spans="1:3" ht="13.25" customHeight="1" x14ac:dyDescent="0.25">
      <c r="A10">
        <v>9</v>
      </c>
      <c r="B10" t="s">
        <v>3</v>
      </c>
      <c r="C10" s="1">
        <v>11963.8</v>
      </c>
    </row>
    <row r="11" spans="1:3" ht="13.25" customHeight="1" x14ac:dyDescent="0.25">
      <c r="A11">
        <v>10</v>
      </c>
      <c r="B11" t="s">
        <v>3</v>
      </c>
      <c r="C11" s="1">
        <v>5294.96</v>
      </c>
    </row>
    <row r="12" spans="1:3" ht="13.25" customHeight="1" x14ac:dyDescent="0.25">
      <c r="A12">
        <v>11</v>
      </c>
      <c r="B12" t="s">
        <v>3</v>
      </c>
      <c r="C12" s="1">
        <v>2965.55</v>
      </c>
    </row>
    <row r="13" spans="1:3" ht="13.25" customHeight="1" x14ac:dyDescent="0.25">
      <c r="A13">
        <v>12</v>
      </c>
      <c r="B13" t="s">
        <v>3</v>
      </c>
      <c r="C13" s="1">
        <v>3896.16</v>
      </c>
    </row>
    <row r="14" spans="1:3" ht="13.25" customHeight="1" x14ac:dyDescent="0.25">
      <c r="A14">
        <v>13</v>
      </c>
      <c r="B14" t="s">
        <v>3</v>
      </c>
      <c r="C14" s="1">
        <v>6074.21</v>
      </c>
    </row>
    <row r="15" spans="1:3" ht="13.25" customHeight="1" x14ac:dyDescent="0.25">
      <c r="A15">
        <v>14</v>
      </c>
      <c r="B15" t="s">
        <v>3</v>
      </c>
      <c r="C15" s="1">
        <v>7217.18</v>
      </c>
    </row>
    <row r="16" spans="1:3" ht="13.25" customHeight="1" x14ac:dyDescent="0.25">
      <c r="A16">
        <v>15</v>
      </c>
      <c r="B16" t="s">
        <v>3</v>
      </c>
      <c r="C16" s="1">
        <v>3730.4</v>
      </c>
    </row>
    <row r="17" spans="1:3" ht="13.25" customHeight="1" x14ac:dyDescent="0.25">
      <c r="A17">
        <v>16</v>
      </c>
      <c r="B17" t="s">
        <v>3</v>
      </c>
      <c r="C17" s="1">
        <v>1248.1400000000001</v>
      </c>
    </row>
    <row r="18" spans="1:3" ht="13.25" customHeight="1" x14ac:dyDescent="0.25">
      <c r="A18">
        <v>17</v>
      </c>
      <c r="B18" t="s">
        <v>3</v>
      </c>
      <c r="C18" s="1">
        <v>14258.95</v>
      </c>
    </row>
    <row r="19" spans="1:3" ht="13.25" customHeight="1" x14ac:dyDescent="0.25">
      <c r="A19">
        <v>18</v>
      </c>
      <c r="B19" t="s">
        <v>3</v>
      </c>
      <c r="C19" s="1">
        <v>19475.78</v>
      </c>
    </row>
    <row r="20" spans="1:3" ht="13.25" customHeight="1" x14ac:dyDescent="0.25">
      <c r="A20">
        <v>19</v>
      </c>
      <c r="B20" t="s">
        <v>3</v>
      </c>
      <c r="C20" s="1">
        <v>3384.8</v>
      </c>
    </row>
    <row r="21" spans="1:3" ht="13.25" customHeight="1" x14ac:dyDescent="0.25">
      <c r="A21">
        <v>20</v>
      </c>
      <c r="B21" t="s">
        <v>3</v>
      </c>
      <c r="C21" s="1">
        <v>6680.14</v>
      </c>
    </row>
    <row r="22" spans="1:3" ht="13.25" customHeight="1" x14ac:dyDescent="0.25">
      <c r="A22">
        <v>21</v>
      </c>
      <c r="B22" t="s">
        <v>3</v>
      </c>
      <c r="C22" s="1">
        <v>1871.78</v>
      </c>
    </row>
    <row r="23" spans="1:3" ht="13.25" customHeight="1" x14ac:dyDescent="0.25">
      <c r="A23">
        <v>22</v>
      </c>
      <c r="B23" t="s">
        <v>3</v>
      </c>
      <c r="C23" s="1">
        <v>4655.22</v>
      </c>
    </row>
    <row r="24" spans="1:3" ht="13.25" customHeight="1" x14ac:dyDescent="0.25">
      <c r="A24">
        <v>23</v>
      </c>
      <c r="B24" t="s">
        <v>3</v>
      </c>
      <c r="C24" s="1">
        <v>7899.41</v>
      </c>
    </row>
    <row r="25" spans="1:3" ht="13.25" customHeight="1" x14ac:dyDescent="0.25">
      <c r="A25">
        <v>24</v>
      </c>
      <c r="B25" t="s">
        <v>3</v>
      </c>
      <c r="C25" s="1">
        <v>12005.57</v>
      </c>
    </row>
    <row r="26" spans="1:3" ht="13.25" customHeight="1" x14ac:dyDescent="0.25">
      <c r="A26">
        <v>25</v>
      </c>
      <c r="B26" t="s">
        <v>3</v>
      </c>
      <c r="C26" s="1">
        <v>3117.39</v>
      </c>
    </row>
    <row r="27" spans="1:3" ht="13.25" customHeight="1" x14ac:dyDescent="0.25">
      <c r="A27">
        <v>26</v>
      </c>
      <c r="B27" t="s">
        <v>3</v>
      </c>
      <c r="C27" s="1">
        <v>10750.39</v>
      </c>
    </row>
    <row r="28" spans="1:3" ht="13.25" customHeight="1" x14ac:dyDescent="0.25">
      <c r="A28">
        <v>27</v>
      </c>
      <c r="B28" t="s">
        <v>3</v>
      </c>
      <c r="C28" s="1">
        <v>5097.72</v>
      </c>
    </row>
    <row r="29" spans="1:3" x14ac:dyDescent="0.25">
      <c r="A29">
        <v>28</v>
      </c>
      <c r="B29" t="s">
        <v>3</v>
      </c>
      <c r="C29" s="1">
        <v>2280.3000000000002</v>
      </c>
    </row>
    <row r="30" spans="1:3" x14ac:dyDescent="0.25">
      <c r="A30">
        <v>29</v>
      </c>
      <c r="B30" t="s">
        <v>3</v>
      </c>
      <c r="C30" s="1">
        <v>16611.95</v>
      </c>
    </row>
    <row r="31" spans="1:3" x14ac:dyDescent="0.25">
      <c r="A31">
        <v>30</v>
      </c>
      <c r="B31" t="s">
        <v>3</v>
      </c>
      <c r="C31" s="1">
        <v>3237.47</v>
      </c>
    </row>
    <row r="32" spans="1:3" x14ac:dyDescent="0.25">
      <c r="A32">
        <v>31</v>
      </c>
      <c r="B32" t="s">
        <v>4</v>
      </c>
      <c r="C32" s="1">
        <v>6844.89</v>
      </c>
    </row>
    <row r="33" spans="1:3" x14ac:dyDescent="0.25">
      <c r="A33">
        <v>32</v>
      </c>
      <c r="B33" t="s">
        <v>4</v>
      </c>
      <c r="C33" s="1">
        <v>6283.8</v>
      </c>
    </row>
    <row r="34" spans="1:3" x14ac:dyDescent="0.25">
      <c r="A34">
        <v>33</v>
      </c>
      <c r="B34" t="s">
        <v>4</v>
      </c>
      <c r="C34" s="1">
        <v>5206.09</v>
      </c>
    </row>
    <row r="35" spans="1:3" x14ac:dyDescent="0.25">
      <c r="A35">
        <v>34</v>
      </c>
      <c r="B35" t="s">
        <v>4</v>
      </c>
      <c r="C35" s="1">
        <v>22030.51</v>
      </c>
    </row>
    <row r="36" spans="1:3" x14ac:dyDescent="0.25">
      <c r="A36">
        <v>35</v>
      </c>
      <c r="B36" t="s">
        <v>4</v>
      </c>
      <c r="C36" s="1">
        <v>5372.86</v>
      </c>
    </row>
    <row r="37" spans="1:3" x14ac:dyDescent="0.25">
      <c r="A37">
        <v>36</v>
      </c>
      <c r="B37" t="s">
        <v>4</v>
      </c>
      <c r="C37" s="1">
        <v>2197.14</v>
      </c>
    </row>
    <row r="38" spans="1:3" x14ac:dyDescent="0.25">
      <c r="A38">
        <v>37</v>
      </c>
      <c r="B38" t="s">
        <v>4</v>
      </c>
      <c r="C38" s="1">
        <v>13472.69</v>
      </c>
    </row>
    <row r="39" spans="1:3" x14ac:dyDescent="0.25">
      <c r="A39">
        <v>38</v>
      </c>
      <c r="B39" t="s">
        <v>4</v>
      </c>
      <c r="C39" s="1">
        <v>8486.18</v>
      </c>
    </row>
    <row r="40" spans="1:3" x14ac:dyDescent="0.25">
      <c r="A40">
        <v>39</v>
      </c>
      <c r="B40" t="s">
        <v>4</v>
      </c>
      <c r="C40" s="1">
        <v>2447.0100000000002</v>
      </c>
    </row>
    <row r="41" spans="1:3" x14ac:dyDescent="0.25">
      <c r="A41">
        <v>40</v>
      </c>
      <c r="B41" t="s">
        <v>4</v>
      </c>
      <c r="C41" s="1">
        <v>19182.240000000002</v>
      </c>
    </row>
    <row r="42" spans="1:3" x14ac:dyDescent="0.25">
      <c r="A42">
        <v>41</v>
      </c>
      <c r="B42" t="s">
        <v>4</v>
      </c>
      <c r="C42" s="1">
        <v>10021.34</v>
      </c>
    </row>
    <row r="43" spans="1:3" x14ac:dyDescent="0.25">
      <c r="A43">
        <v>42</v>
      </c>
      <c r="B43" t="s">
        <v>4</v>
      </c>
      <c r="C43" s="1">
        <v>1594.57</v>
      </c>
    </row>
    <row r="44" spans="1:3" x14ac:dyDescent="0.25">
      <c r="A44">
        <v>43</v>
      </c>
      <c r="B44" t="s">
        <v>4</v>
      </c>
      <c r="C44" s="1">
        <v>4412.8</v>
      </c>
    </row>
    <row r="45" spans="1:3" x14ac:dyDescent="0.25">
      <c r="A45">
        <v>44</v>
      </c>
      <c r="B45" t="s">
        <v>4</v>
      </c>
      <c r="C45" s="1">
        <v>7000.21</v>
      </c>
    </row>
    <row r="46" spans="1:3" x14ac:dyDescent="0.25">
      <c r="A46">
        <v>45</v>
      </c>
      <c r="B46" t="s">
        <v>4</v>
      </c>
      <c r="C46" s="1">
        <v>1221.58</v>
      </c>
    </row>
    <row r="47" spans="1:3" x14ac:dyDescent="0.25">
      <c r="A47">
        <v>46</v>
      </c>
      <c r="B47" t="s">
        <v>4</v>
      </c>
      <c r="C47" s="1">
        <v>6956.35</v>
      </c>
    </row>
    <row r="48" spans="1:3" x14ac:dyDescent="0.25">
      <c r="A48">
        <v>47</v>
      </c>
      <c r="B48" t="s">
        <v>4</v>
      </c>
      <c r="C48" s="1">
        <v>2568.13</v>
      </c>
    </row>
    <row r="49" spans="1:3" x14ac:dyDescent="0.25">
      <c r="A49">
        <v>48</v>
      </c>
      <c r="B49" t="s">
        <v>4</v>
      </c>
      <c r="C49" s="1">
        <v>2257.2399999999998</v>
      </c>
    </row>
    <row r="50" spans="1:3" x14ac:dyDescent="0.25">
      <c r="A50">
        <v>49</v>
      </c>
      <c r="B50" t="s">
        <v>4</v>
      </c>
      <c r="C50" s="1">
        <v>3946.68</v>
      </c>
    </row>
    <row r="51" spans="1:3" x14ac:dyDescent="0.25">
      <c r="A51">
        <v>50</v>
      </c>
      <c r="B51" t="s">
        <v>4</v>
      </c>
      <c r="C51" s="1">
        <v>9546.52</v>
      </c>
    </row>
    <row r="52" spans="1:3" x14ac:dyDescent="0.25">
      <c r="A52">
        <v>51</v>
      </c>
      <c r="B52" t="s">
        <v>4</v>
      </c>
      <c r="C52" s="1">
        <v>9321.1200000000008</v>
      </c>
    </row>
    <row r="53" spans="1:3" x14ac:dyDescent="0.25">
      <c r="A53">
        <v>52</v>
      </c>
      <c r="B53" t="s">
        <v>4</v>
      </c>
      <c r="C53" s="1">
        <v>4278.7299999999996</v>
      </c>
    </row>
    <row r="54" spans="1:3" x14ac:dyDescent="0.25">
      <c r="A54">
        <v>53</v>
      </c>
      <c r="B54" t="s">
        <v>4</v>
      </c>
      <c r="C54" s="1">
        <v>3720.09</v>
      </c>
    </row>
    <row r="55" spans="1:3" x14ac:dyDescent="0.25">
      <c r="A55">
        <v>54</v>
      </c>
      <c r="B55" t="s">
        <v>4</v>
      </c>
      <c r="C55" s="1">
        <v>2314.85</v>
      </c>
    </row>
    <row r="56" spans="1:3" x14ac:dyDescent="0.25">
      <c r="A56">
        <v>55</v>
      </c>
      <c r="B56" t="s">
        <v>4</v>
      </c>
      <c r="C56" s="1">
        <v>2741.32</v>
      </c>
    </row>
    <row r="57" spans="1:3" x14ac:dyDescent="0.25">
      <c r="A57">
        <v>56</v>
      </c>
      <c r="B57" t="s">
        <v>4</v>
      </c>
      <c r="C57" s="1">
        <v>3489.61</v>
      </c>
    </row>
    <row r="58" spans="1:3" x14ac:dyDescent="0.25">
      <c r="A58">
        <v>57</v>
      </c>
      <c r="B58" t="s">
        <v>4</v>
      </c>
      <c r="C58" s="1">
        <v>9916.19</v>
      </c>
    </row>
    <row r="59" spans="1:3" x14ac:dyDescent="0.25">
      <c r="A59">
        <v>58</v>
      </c>
      <c r="B59" t="s">
        <v>4</v>
      </c>
      <c r="C59" s="1">
        <v>2793.26</v>
      </c>
    </row>
    <row r="60" spans="1:3" x14ac:dyDescent="0.25">
      <c r="A60">
        <v>59</v>
      </c>
      <c r="B60" t="s">
        <v>4</v>
      </c>
      <c r="C60" s="1">
        <v>4394.1499999999996</v>
      </c>
    </row>
    <row r="61" spans="1:3" x14ac:dyDescent="0.25">
      <c r="A61">
        <v>60</v>
      </c>
      <c r="B61" t="s">
        <v>4</v>
      </c>
      <c r="C61" s="1">
        <v>3598.72</v>
      </c>
    </row>
    <row r="62" spans="1:3" x14ac:dyDescent="0.25">
      <c r="A62">
        <v>61</v>
      </c>
      <c r="B62" t="s">
        <v>5</v>
      </c>
      <c r="C62" s="1">
        <v>5455.73</v>
      </c>
    </row>
    <row r="63" spans="1:3" x14ac:dyDescent="0.25">
      <c r="A63">
        <v>62</v>
      </c>
      <c r="B63" t="s">
        <v>5</v>
      </c>
      <c r="C63" s="1">
        <v>4448.4799999999996</v>
      </c>
    </row>
    <row r="64" spans="1:3" x14ac:dyDescent="0.25">
      <c r="A64">
        <v>63</v>
      </c>
      <c r="B64" t="s">
        <v>5</v>
      </c>
      <c r="C64" s="1">
        <v>8996.7999999999993</v>
      </c>
    </row>
    <row r="65" spans="1:3" x14ac:dyDescent="0.25">
      <c r="A65">
        <v>64</v>
      </c>
      <c r="B65" t="s">
        <v>5</v>
      </c>
      <c r="C65" s="1">
        <v>4734.9799999999996</v>
      </c>
    </row>
    <row r="66" spans="1:3" x14ac:dyDescent="0.25">
      <c r="A66">
        <v>65</v>
      </c>
      <c r="B66" t="s">
        <v>5</v>
      </c>
      <c r="C66" s="1">
        <v>13055.1</v>
      </c>
    </row>
    <row r="67" spans="1:3" x14ac:dyDescent="0.25">
      <c r="A67">
        <v>66</v>
      </c>
      <c r="B67" t="s">
        <v>5</v>
      </c>
      <c r="C67" s="1">
        <v>10194.42</v>
      </c>
    </row>
    <row r="68" spans="1:3" x14ac:dyDescent="0.25">
      <c r="A68">
        <v>67</v>
      </c>
      <c r="B68" t="s">
        <v>5</v>
      </c>
      <c r="C68" s="1">
        <v>16229.83</v>
      </c>
    </row>
    <row r="69" spans="1:3" x14ac:dyDescent="0.25">
      <c r="A69">
        <v>68</v>
      </c>
      <c r="B69" t="s">
        <v>5</v>
      </c>
      <c r="C69" s="1">
        <v>7099.69</v>
      </c>
    </row>
    <row r="70" spans="1:3" x14ac:dyDescent="0.25">
      <c r="A70">
        <v>69</v>
      </c>
      <c r="B70" t="s">
        <v>5</v>
      </c>
      <c r="C70" s="1">
        <v>5948.36</v>
      </c>
    </row>
    <row r="71" spans="1:3" x14ac:dyDescent="0.25">
      <c r="A71">
        <v>70</v>
      </c>
      <c r="B71" t="s">
        <v>5</v>
      </c>
      <c r="C71" s="1">
        <v>4155.38</v>
      </c>
    </row>
    <row r="72" spans="1:3" x14ac:dyDescent="0.25">
      <c r="A72">
        <v>71</v>
      </c>
      <c r="B72" t="s">
        <v>5</v>
      </c>
      <c r="C72" s="1">
        <v>14470.9</v>
      </c>
    </row>
    <row r="73" spans="1:3" x14ac:dyDescent="0.25">
      <c r="A73">
        <v>72</v>
      </c>
      <c r="B73" t="s">
        <v>5</v>
      </c>
      <c r="C73" s="1">
        <v>4957.09</v>
      </c>
    </row>
    <row r="74" spans="1:3" x14ac:dyDescent="0.25">
      <c r="A74">
        <v>73</v>
      </c>
      <c r="B74" t="s">
        <v>5</v>
      </c>
      <c r="C74" s="1">
        <v>5040.75</v>
      </c>
    </row>
    <row r="75" spans="1:3" x14ac:dyDescent="0.25">
      <c r="A75">
        <v>74</v>
      </c>
      <c r="B75" t="s">
        <v>5</v>
      </c>
      <c r="C75" s="1">
        <v>4113.04</v>
      </c>
    </row>
    <row r="76" spans="1:3" x14ac:dyDescent="0.25">
      <c r="A76">
        <v>75</v>
      </c>
      <c r="B76" t="s">
        <v>5</v>
      </c>
      <c r="C76" s="1">
        <v>18527.78</v>
      </c>
    </row>
    <row r="77" spans="1:3" x14ac:dyDescent="0.25">
      <c r="A77">
        <v>76</v>
      </c>
      <c r="B77" t="s">
        <v>5</v>
      </c>
      <c r="C77" s="1">
        <v>7272.11</v>
      </c>
    </row>
    <row r="78" spans="1:3" x14ac:dyDescent="0.25">
      <c r="A78">
        <v>77</v>
      </c>
      <c r="B78" t="s">
        <v>5</v>
      </c>
      <c r="C78" s="1">
        <v>10481.06</v>
      </c>
    </row>
    <row r="79" spans="1:3" x14ac:dyDescent="0.25">
      <c r="A79">
        <v>78</v>
      </c>
      <c r="B79" t="s">
        <v>5</v>
      </c>
      <c r="C79" s="1">
        <v>3156.14</v>
      </c>
    </row>
    <row r="80" spans="1:3" x14ac:dyDescent="0.25">
      <c r="A80">
        <v>79</v>
      </c>
      <c r="B80" t="s">
        <v>5</v>
      </c>
      <c r="C80" s="1">
        <v>14447.6</v>
      </c>
    </row>
    <row r="81" spans="1:3" x14ac:dyDescent="0.25">
      <c r="A81">
        <v>80</v>
      </c>
      <c r="B81" t="s">
        <v>5</v>
      </c>
      <c r="C81" s="1">
        <v>6412.51</v>
      </c>
    </row>
    <row r="82" spans="1:3" x14ac:dyDescent="0.25">
      <c r="A82">
        <v>81</v>
      </c>
      <c r="B82" t="s">
        <v>5</v>
      </c>
      <c r="C82" s="1">
        <v>13480.78</v>
      </c>
    </row>
    <row r="83" spans="1:3" x14ac:dyDescent="0.25">
      <c r="A83">
        <v>82</v>
      </c>
      <c r="B83" t="s">
        <v>5</v>
      </c>
      <c r="C83" s="1">
        <v>18847.52</v>
      </c>
    </row>
    <row r="84" spans="1:3" x14ac:dyDescent="0.25">
      <c r="A84">
        <v>83</v>
      </c>
      <c r="B84" t="s">
        <v>5</v>
      </c>
      <c r="C84" s="1">
        <v>15593.65</v>
      </c>
    </row>
    <row r="85" spans="1:3" x14ac:dyDescent="0.25">
      <c r="A85">
        <v>84</v>
      </c>
      <c r="B85" t="s">
        <v>5</v>
      </c>
      <c r="C85" s="1">
        <v>10049.19</v>
      </c>
    </row>
    <row r="86" spans="1:3" x14ac:dyDescent="0.25">
      <c r="A86">
        <v>85</v>
      </c>
      <c r="B86" t="s">
        <v>5</v>
      </c>
      <c r="C86" s="1">
        <v>9632.61</v>
      </c>
    </row>
    <row r="87" spans="1:3" x14ac:dyDescent="0.25">
      <c r="A87">
        <v>86</v>
      </c>
      <c r="B87" t="s">
        <v>5</v>
      </c>
      <c r="C87" s="1">
        <v>18571.330000000002</v>
      </c>
    </row>
    <row r="88" spans="1:3" x14ac:dyDescent="0.25">
      <c r="A88">
        <v>87</v>
      </c>
      <c r="B88" t="s">
        <v>5</v>
      </c>
      <c r="C88" s="1">
        <v>4513.67</v>
      </c>
    </row>
    <row r="89" spans="1:3" x14ac:dyDescent="0.25">
      <c r="A89">
        <v>88</v>
      </c>
      <c r="B89" t="s">
        <v>5</v>
      </c>
      <c r="C89" s="1">
        <v>6049.84</v>
      </c>
    </row>
    <row r="90" spans="1:3" x14ac:dyDescent="0.25">
      <c r="A90">
        <v>89</v>
      </c>
      <c r="B90" t="s">
        <v>5</v>
      </c>
      <c r="C90" s="1">
        <v>6716.69</v>
      </c>
    </row>
    <row r="91" spans="1:3" x14ac:dyDescent="0.25">
      <c r="A91">
        <v>90</v>
      </c>
      <c r="B91" t="s">
        <v>5</v>
      </c>
      <c r="C91" s="1">
        <v>8768.23</v>
      </c>
    </row>
    <row r="92" spans="1:3" x14ac:dyDescent="0.25">
      <c r="A92">
        <v>91</v>
      </c>
      <c r="B92" t="s">
        <v>6</v>
      </c>
      <c r="C92" s="1">
        <v>1035.75</v>
      </c>
    </row>
    <row r="93" spans="1:3" x14ac:dyDescent="0.25">
      <c r="A93">
        <v>92</v>
      </c>
      <c r="B93" t="s">
        <v>6</v>
      </c>
      <c r="C93" s="1">
        <v>6130.58</v>
      </c>
    </row>
    <row r="94" spans="1:3" x14ac:dyDescent="0.25">
      <c r="A94">
        <v>93</v>
      </c>
      <c r="B94" t="s">
        <v>6</v>
      </c>
      <c r="C94" s="1">
        <v>2584.2800000000002</v>
      </c>
    </row>
    <row r="95" spans="1:3" x14ac:dyDescent="0.25">
      <c r="A95">
        <v>94</v>
      </c>
      <c r="B95" t="s">
        <v>6</v>
      </c>
      <c r="C95" s="1">
        <v>2635.85</v>
      </c>
    </row>
    <row r="96" spans="1:3" x14ac:dyDescent="0.25">
      <c r="A96">
        <v>95</v>
      </c>
      <c r="B96" t="s">
        <v>6</v>
      </c>
      <c r="C96" s="1">
        <v>5371.03</v>
      </c>
    </row>
    <row r="97" spans="1:3" x14ac:dyDescent="0.25">
      <c r="A97">
        <v>96</v>
      </c>
      <c r="B97" t="s">
        <v>6</v>
      </c>
      <c r="C97" s="1">
        <v>14433.99</v>
      </c>
    </row>
    <row r="98" spans="1:3" x14ac:dyDescent="0.25">
      <c r="A98">
        <v>97</v>
      </c>
      <c r="B98" t="s">
        <v>6</v>
      </c>
      <c r="C98" s="1">
        <v>2283.88</v>
      </c>
    </row>
    <row r="99" spans="1:3" x14ac:dyDescent="0.25">
      <c r="A99">
        <v>98</v>
      </c>
      <c r="B99" t="s">
        <v>6</v>
      </c>
      <c r="C99" s="1">
        <v>3630.39</v>
      </c>
    </row>
    <row r="100" spans="1:3" x14ac:dyDescent="0.25">
      <c r="A100">
        <v>99</v>
      </c>
      <c r="B100" t="s">
        <v>6</v>
      </c>
      <c r="C100" s="1">
        <v>4775.3599999999997</v>
      </c>
    </row>
    <row r="101" spans="1:3" x14ac:dyDescent="0.25">
      <c r="A101">
        <v>100</v>
      </c>
      <c r="B101" t="s">
        <v>6</v>
      </c>
      <c r="C101" s="1">
        <v>6084.66</v>
      </c>
    </row>
    <row r="102" spans="1:3" x14ac:dyDescent="0.25">
      <c r="A102">
        <v>101</v>
      </c>
      <c r="B102" t="s">
        <v>6</v>
      </c>
      <c r="C102" s="1">
        <v>1414.8</v>
      </c>
    </row>
    <row r="103" spans="1:3" x14ac:dyDescent="0.25">
      <c r="A103">
        <v>102</v>
      </c>
      <c r="B103" t="s">
        <v>6</v>
      </c>
      <c r="C103" s="1">
        <v>6630.33</v>
      </c>
    </row>
    <row r="104" spans="1:3" x14ac:dyDescent="0.25">
      <c r="A104">
        <v>103</v>
      </c>
      <c r="B104" t="s">
        <v>6</v>
      </c>
      <c r="C104" s="1">
        <v>5139.1099999999997</v>
      </c>
    </row>
    <row r="105" spans="1:3" x14ac:dyDescent="0.25">
      <c r="A105">
        <v>104</v>
      </c>
      <c r="B105" t="s">
        <v>6</v>
      </c>
      <c r="C105" s="1">
        <v>16346.71</v>
      </c>
    </row>
    <row r="106" spans="1:3" x14ac:dyDescent="0.25">
      <c r="A106">
        <v>105</v>
      </c>
      <c r="B106" t="s">
        <v>6</v>
      </c>
      <c r="C106" s="1">
        <v>5068.54</v>
      </c>
    </row>
    <row r="107" spans="1:3" x14ac:dyDescent="0.25">
      <c r="A107">
        <v>106</v>
      </c>
      <c r="B107" t="s">
        <v>6</v>
      </c>
      <c r="C107" s="1">
        <v>1810.36</v>
      </c>
    </row>
    <row r="108" spans="1:3" x14ac:dyDescent="0.25">
      <c r="A108">
        <v>107</v>
      </c>
      <c r="B108" t="s">
        <v>6</v>
      </c>
      <c r="C108" s="1">
        <v>5881.9</v>
      </c>
    </row>
    <row r="109" spans="1:3" x14ac:dyDescent="0.25">
      <c r="A109">
        <v>108</v>
      </c>
      <c r="B109" t="s">
        <v>6</v>
      </c>
      <c r="C109" s="1">
        <v>4149.18</v>
      </c>
    </row>
    <row r="110" spans="1:3" x14ac:dyDescent="0.25">
      <c r="A110">
        <v>109</v>
      </c>
      <c r="B110" t="s">
        <v>6</v>
      </c>
      <c r="C110" s="1">
        <v>3597.68</v>
      </c>
    </row>
    <row r="111" spans="1:3" x14ac:dyDescent="0.25">
      <c r="A111">
        <v>110</v>
      </c>
      <c r="B111" t="s">
        <v>6</v>
      </c>
      <c r="C111" s="1">
        <v>10679.39</v>
      </c>
    </row>
    <row r="112" spans="1:3" x14ac:dyDescent="0.25">
      <c r="A112">
        <v>111</v>
      </c>
      <c r="B112" t="s">
        <v>6</v>
      </c>
      <c r="C112" s="1">
        <v>5249.46</v>
      </c>
    </row>
    <row r="113" spans="1:3" x14ac:dyDescent="0.25">
      <c r="A113">
        <v>112</v>
      </c>
      <c r="B113" t="s">
        <v>6</v>
      </c>
      <c r="C113" s="1">
        <v>10377.23</v>
      </c>
    </row>
    <row r="114" spans="1:3" x14ac:dyDescent="0.25">
      <c r="A114">
        <v>113</v>
      </c>
      <c r="B114" t="s">
        <v>6</v>
      </c>
      <c r="C114" s="1">
        <v>3063.96</v>
      </c>
    </row>
    <row r="115" spans="1:3" x14ac:dyDescent="0.25">
      <c r="A115">
        <v>114</v>
      </c>
      <c r="B115" t="s">
        <v>6</v>
      </c>
      <c r="C115" s="1">
        <v>3580.55</v>
      </c>
    </row>
    <row r="116" spans="1:3" x14ac:dyDescent="0.25">
      <c r="A116">
        <v>115</v>
      </c>
      <c r="B116" t="s">
        <v>6</v>
      </c>
      <c r="C116" s="1">
        <v>10516.46</v>
      </c>
    </row>
    <row r="117" spans="1:3" x14ac:dyDescent="0.25">
      <c r="A117">
        <v>116</v>
      </c>
      <c r="B117" t="s">
        <v>6</v>
      </c>
      <c r="C117" s="1">
        <v>6082.93</v>
      </c>
    </row>
    <row r="118" spans="1:3" x14ac:dyDescent="0.25">
      <c r="A118">
        <v>117</v>
      </c>
      <c r="B118" t="s">
        <v>6</v>
      </c>
      <c r="C118" s="1">
        <v>960.28</v>
      </c>
    </row>
    <row r="119" spans="1:3" x14ac:dyDescent="0.25">
      <c r="A119">
        <v>118</v>
      </c>
      <c r="B119" t="s">
        <v>6</v>
      </c>
      <c r="C119" s="1">
        <v>3118.49</v>
      </c>
    </row>
    <row r="120" spans="1:3" x14ac:dyDescent="0.25">
      <c r="A120">
        <v>119</v>
      </c>
      <c r="B120" t="s">
        <v>6</v>
      </c>
      <c r="C120" s="1">
        <v>12919.48</v>
      </c>
    </row>
    <row r="121" spans="1:3" x14ac:dyDescent="0.25">
      <c r="A121">
        <v>120</v>
      </c>
      <c r="B121" t="s">
        <v>6</v>
      </c>
      <c r="C121" s="1">
        <v>5933.54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2"/>
  <sheetViews>
    <sheetView tabSelected="1" workbookViewId="0">
      <selection sqref="A1:E1"/>
    </sheetView>
  </sheetViews>
  <sheetFormatPr defaultRowHeight="12.5" x14ac:dyDescent="0.25"/>
  <cols>
    <col min="1" max="1" width="22" customWidth="1"/>
    <col min="2" max="5" width="16" customWidth="1"/>
  </cols>
  <sheetData>
    <row r="1" spans="1:5" ht="18" x14ac:dyDescent="0.4">
      <c r="A1" s="21" t="s">
        <v>7</v>
      </c>
      <c r="B1" s="16"/>
      <c r="C1" s="16"/>
      <c r="D1" s="16"/>
      <c r="E1" s="16"/>
    </row>
    <row r="2" spans="1:5" ht="13" x14ac:dyDescent="0.3">
      <c r="A2" s="19" t="s">
        <v>8</v>
      </c>
      <c r="B2" s="16"/>
      <c r="C2" s="16"/>
      <c r="D2" s="16"/>
      <c r="E2" s="16"/>
    </row>
    <row r="4" spans="1:5" ht="14" x14ac:dyDescent="0.25">
      <c r="A4" s="15" t="s">
        <v>9</v>
      </c>
      <c r="B4" s="16"/>
      <c r="C4" s="16"/>
      <c r="D4" s="16"/>
      <c r="E4" s="16"/>
    </row>
    <row r="5" spans="1:5" ht="13" x14ac:dyDescent="0.3">
      <c r="A5" s="4" t="s">
        <v>10</v>
      </c>
      <c r="B5" s="4" t="s">
        <v>11</v>
      </c>
      <c r="C5" s="4" t="s">
        <v>12</v>
      </c>
      <c r="D5" s="4" t="s">
        <v>13</v>
      </c>
      <c r="E5" s="4" t="s">
        <v>14</v>
      </c>
    </row>
    <row r="6" spans="1:5" x14ac:dyDescent="0.25">
      <c r="A6" s="5" t="s">
        <v>3</v>
      </c>
      <c r="B6" s="5">
        <f>COUNTIF(Costs!$B$2:$B$121,A6)</f>
        <v>30</v>
      </c>
      <c r="C6" s="6">
        <f>SUMIF(Costs!$B$2:$B$121,A6,Costs!$C$2:$C$121)</f>
        <v>199229.57</v>
      </c>
      <c r="D6" s="6">
        <f>AVERAGEIF(Costs!$B$2:$B$121,A6,Costs!$C$2:$C$121)</f>
        <v>6640.9856666666665</v>
      </c>
      <c r="E6" s="6">
        <f>SUMPRODUCT((Costs!$B$2:$B$121=A6)*(Costs!$C$2:$C$121-D6)^2)/(B6-1)</f>
        <v>21757799.019259885</v>
      </c>
    </row>
    <row r="7" spans="1:5" x14ac:dyDescent="0.25">
      <c r="A7" s="5" t="s">
        <v>4</v>
      </c>
      <c r="B7" s="5">
        <f>COUNTIF(Costs!$B$2:$B$121,A7)</f>
        <v>30</v>
      </c>
      <c r="C7" s="6">
        <f>SUMIF(Costs!$B$2:$B$121,A7,Costs!$C$2:$C$121)</f>
        <v>187616.87000000002</v>
      </c>
      <c r="D7" s="6">
        <f>AVERAGEIF(Costs!$B$2:$B$121,A7,Costs!$C$2:$C$121)</f>
        <v>6253.8956666666672</v>
      </c>
      <c r="E7" s="6">
        <f>SUMPRODUCT((Costs!$B$2:$B$121=A7)*(Costs!$C$2:$C$121-D7)^2)/(B7-1)</f>
        <v>24442189.465066779</v>
      </c>
    </row>
    <row r="8" spans="1:5" x14ac:dyDescent="0.25">
      <c r="A8" s="5" t="s">
        <v>5</v>
      </c>
      <c r="B8" s="5">
        <f>COUNTIF(Costs!$B$2:$B$121,A8)</f>
        <v>30</v>
      </c>
      <c r="C8" s="6">
        <f>SUMIF(Costs!$B$2:$B$121,A8,Costs!$C$2:$C$121)</f>
        <v>281421.26</v>
      </c>
      <c r="D8" s="6">
        <f>AVERAGEIF(Costs!$B$2:$B$121,A8,Costs!$C$2:$C$121)</f>
        <v>9380.7086666666673</v>
      </c>
      <c r="E8" s="6">
        <f>SUMPRODUCT((Costs!$B$2:$B$121=A8)*(Costs!$C$2:$C$121-D8)^2)/(B8-1)</f>
        <v>23920882.367956784</v>
      </c>
    </row>
    <row r="9" spans="1:5" x14ac:dyDescent="0.25">
      <c r="A9" s="5" t="s">
        <v>6</v>
      </c>
      <c r="B9" s="5">
        <f>COUNTIF(Costs!$B$2:$B$121,A9)</f>
        <v>30</v>
      </c>
      <c r="C9" s="6">
        <f>SUMIF(Costs!$B$2:$B$121,A9,Costs!$C$2:$C$121)</f>
        <v>171486.14999999997</v>
      </c>
      <c r="D9" s="6">
        <f>AVERAGEIF(Costs!$B$2:$B$121,A9,Costs!$C$2:$C$121)</f>
        <v>5716.204999999999</v>
      </c>
      <c r="E9" s="6">
        <f>SUMPRODUCT((Costs!$B$2:$B$121=A9)*(Costs!$C$2:$C$121-D9)^2)/(B9-1)</f>
        <v>15607649.241398275</v>
      </c>
    </row>
    <row r="10" spans="1:5" ht="13" x14ac:dyDescent="0.3">
      <c r="A10" s="7" t="s">
        <v>15</v>
      </c>
      <c r="B10" s="7">
        <f>SUM(B6:B9)</f>
        <v>120</v>
      </c>
      <c r="C10" s="8">
        <f>SUM(C6:C9)</f>
        <v>839753.85000000009</v>
      </c>
      <c r="D10" s="8">
        <f>AVERAGE(Costs!$C$2:$C$121)</f>
        <v>6997.9487500000005</v>
      </c>
      <c r="E10" s="9"/>
    </row>
    <row r="11" spans="1:5" ht="40" customHeight="1" x14ac:dyDescent="0.25">
      <c r="A11" s="18" t="s">
        <v>16</v>
      </c>
      <c r="B11" s="16"/>
      <c r="C11" s="16"/>
      <c r="D11" s="16"/>
      <c r="E11" s="16"/>
    </row>
    <row r="12" spans="1:5" x14ac:dyDescent="0.25">
      <c r="A12" s="16"/>
      <c r="B12" s="16"/>
      <c r="C12" s="16"/>
      <c r="D12" s="16"/>
      <c r="E12" s="16"/>
    </row>
    <row r="13" spans="1:5" x14ac:dyDescent="0.25">
      <c r="A13" s="16"/>
      <c r="B13" s="16"/>
      <c r="C13" s="16"/>
      <c r="D13" s="16"/>
      <c r="E13" s="16"/>
    </row>
    <row r="15" spans="1:5" ht="14" x14ac:dyDescent="0.25">
      <c r="A15" s="15" t="s">
        <v>17</v>
      </c>
      <c r="B15" s="16"/>
      <c r="C15" s="16"/>
      <c r="D15" s="16"/>
      <c r="E15" s="16"/>
    </row>
    <row r="16" spans="1:5" ht="13" x14ac:dyDescent="0.3">
      <c r="A16" s="17" t="s">
        <v>18</v>
      </c>
      <c r="B16" s="16"/>
      <c r="C16" s="16"/>
      <c r="D16" s="16"/>
      <c r="E16" s="16"/>
    </row>
    <row r="17" spans="1:5" ht="13" x14ac:dyDescent="0.3">
      <c r="A17" s="10" t="s">
        <v>19</v>
      </c>
      <c r="B17" s="11">
        <f>SUMPRODUCT(B6:B9,(D6:D9-$D$10)^2)</f>
        <v>240043484.84454268</v>
      </c>
    </row>
    <row r="19" spans="1:5" ht="14" x14ac:dyDescent="0.25">
      <c r="A19" s="15" t="s">
        <v>20</v>
      </c>
      <c r="B19" s="16"/>
      <c r="C19" s="16"/>
      <c r="D19" s="16"/>
      <c r="E19" s="16"/>
    </row>
    <row r="20" spans="1:5" ht="13" x14ac:dyDescent="0.3">
      <c r="A20" s="17" t="s">
        <v>21</v>
      </c>
      <c r="B20" s="16"/>
      <c r="C20" s="16"/>
      <c r="D20" s="16"/>
      <c r="E20" s="16"/>
    </row>
    <row r="21" spans="1:5" ht="13" x14ac:dyDescent="0.3">
      <c r="A21" s="10" t="s">
        <v>22</v>
      </c>
      <c r="B21" s="11">
        <f>SUMPRODUCT(B6:B9-1,E6:E9)</f>
        <v>2486127082.7167697</v>
      </c>
    </row>
    <row r="23" spans="1:5" ht="14" x14ac:dyDescent="0.25">
      <c r="A23" s="15" t="s">
        <v>23</v>
      </c>
      <c r="B23" s="16"/>
      <c r="C23" s="16"/>
      <c r="D23" s="16"/>
      <c r="E23" s="16"/>
    </row>
    <row r="24" spans="1:5" ht="13" x14ac:dyDescent="0.3">
      <c r="A24" s="17" t="s">
        <v>24</v>
      </c>
      <c r="B24" s="16"/>
      <c r="C24" s="16"/>
      <c r="D24" s="16"/>
      <c r="E24" s="16"/>
    </row>
    <row r="25" spans="1:5" ht="13" x14ac:dyDescent="0.3">
      <c r="A25" s="10" t="s">
        <v>25</v>
      </c>
      <c r="B25" s="11">
        <f>$B$17+$B$21</f>
        <v>2726170567.5613122</v>
      </c>
      <c r="C25" s="3" t="s">
        <v>26</v>
      </c>
      <c r="D25" s="12">
        <f>DEVSQ(Costs!$C$2:$C$121)</f>
        <v>2726170567.5613127</v>
      </c>
    </row>
    <row r="27" spans="1:5" ht="14" x14ac:dyDescent="0.25">
      <c r="A27" s="15" t="s">
        <v>27</v>
      </c>
      <c r="B27" s="16"/>
      <c r="C27" s="16"/>
      <c r="D27" s="16"/>
      <c r="E27" s="16"/>
    </row>
    <row r="28" spans="1:5" x14ac:dyDescent="0.25">
      <c r="A28" t="s">
        <v>28</v>
      </c>
      <c r="B28">
        <f>COUNTA(A6:A9)</f>
        <v>4</v>
      </c>
    </row>
    <row r="29" spans="1:5" x14ac:dyDescent="0.25">
      <c r="A29" t="s">
        <v>29</v>
      </c>
      <c r="B29">
        <f>COUNT(Costs!$C$2:$C$121)</f>
        <v>120</v>
      </c>
    </row>
    <row r="30" spans="1:5" x14ac:dyDescent="0.25">
      <c r="A30" t="s">
        <v>30</v>
      </c>
      <c r="B30">
        <f>B28-1</f>
        <v>3</v>
      </c>
    </row>
    <row r="31" spans="1:5" x14ac:dyDescent="0.25">
      <c r="A31" t="s">
        <v>31</v>
      </c>
      <c r="B31">
        <f>B29-B28</f>
        <v>116</v>
      </c>
    </row>
    <row r="32" spans="1:5" x14ac:dyDescent="0.25">
      <c r="A32" t="s">
        <v>32</v>
      </c>
      <c r="B32" s="12">
        <f>$B$17/B30</f>
        <v>80014494.948180899</v>
      </c>
    </row>
    <row r="33" spans="1:5" x14ac:dyDescent="0.25">
      <c r="A33" t="s">
        <v>33</v>
      </c>
      <c r="B33" s="12">
        <f>$B$21/B31</f>
        <v>21432130.023420427</v>
      </c>
    </row>
    <row r="34" spans="1:5" ht="13" x14ac:dyDescent="0.3">
      <c r="A34" s="10" t="s">
        <v>34</v>
      </c>
      <c r="B34" s="13">
        <f>B32/B33</f>
        <v>3.7333897685737871</v>
      </c>
    </row>
    <row r="36" spans="1:5" ht="14" x14ac:dyDescent="0.25">
      <c r="A36" s="15" t="s">
        <v>35</v>
      </c>
      <c r="B36" s="16"/>
      <c r="C36" s="16"/>
      <c r="D36" s="16"/>
      <c r="E36" s="16"/>
    </row>
    <row r="37" spans="1:5" ht="13" x14ac:dyDescent="0.3">
      <c r="A37" s="10" t="s">
        <v>36</v>
      </c>
      <c r="B37" s="13">
        <f>FDIST(B34,B30,B31)</f>
        <v>1.32334223119544E-2</v>
      </c>
    </row>
    <row r="38" spans="1:5" x14ac:dyDescent="0.25">
      <c r="A38" t="s">
        <v>37</v>
      </c>
      <c r="B38" s="14">
        <v>0.05</v>
      </c>
    </row>
    <row r="40" spans="1:5" ht="40" customHeight="1" x14ac:dyDescent="0.25">
      <c r="A40" s="20" t="str">
        <f>IF($B$37&lt;$B$38,"Reject H0: p = "&amp;TEXT($B$37,"0.0000")&amp;" &lt; α = "&amp;TEXT($B$38,"0.00")&amp;". There is a statistically significant difference among the mean costs of the four hospitals.","Fail to reject H0: p = "&amp;TEXT($B$37,"0.0000")&amp;" ≥ α = "&amp;TEXT($B$38,"0.00")&amp;". No statistically significant difference among the mean costs of the four hospitals.")</f>
        <v>Reject H0: p = 0.0132 &lt; α = 0.05. There is a statistically significant difference among the mean costs of the four hospitals.</v>
      </c>
      <c r="B40" s="16"/>
      <c r="C40" s="16"/>
      <c r="D40" s="16"/>
      <c r="E40" s="16"/>
    </row>
    <row r="41" spans="1:5" x14ac:dyDescent="0.25">
      <c r="A41" s="16"/>
      <c r="B41" s="16"/>
      <c r="C41" s="16"/>
      <c r="D41" s="16"/>
      <c r="E41" s="16"/>
    </row>
    <row r="42" spans="1:5" x14ac:dyDescent="0.25">
      <c r="A42" s="16"/>
      <c r="B42" s="16"/>
      <c r="C42" s="16"/>
      <c r="D42" s="16"/>
      <c r="E42" s="16"/>
    </row>
  </sheetData>
  <mergeCells count="13">
    <mergeCell ref="A24:E24"/>
    <mergeCell ref="A19:E19"/>
    <mergeCell ref="A40:E42"/>
    <mergeCell ref="A1:E1"/>
    <mergeCell ref="A23:E23"/>
    <mergeCell ref="A36:E36"/>
    <mergeCell ref="A27:E27"/>
    <mergeCell ref="A4:E4"/>
    <mergeCell ref="A20:E20"/>
    <mergeCell ref="A11:E13"/>
    <mergeCell ref="A2:E2"/>
    <mergeCell ref="A16:E16"/>
    <mergeCell ref="A15:E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Costs</vt:lpstr>
      <vt:lpstr>ANOVA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Prerna Sinha</dc:creator>
  <cp:lastModifiedBy>Prerna Sinha</cp:lastModifiedBy>
  <dcterms:created xsi:type="dcterms:W3CDTF">2002-09-19T18:46:31Z</dcterms:created>
  <dcterms:modified xsi:type="dcterms:W3CDTF">2026-09-25T18:33:33Z</dcterms:modified>
</cp:coreProperties>
</file>